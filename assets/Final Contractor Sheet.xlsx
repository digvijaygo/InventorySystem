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a7fe20aebd7c7d9/Desktop/"/>
    </mc:Choice>
  </mc:AlternateContent>
  <xr:revisionPtr revIDLastSave="1494" documentId="11_F25DC773A252ABDACC1048EC999C42FC5BDE58EC" xr6:coauthVersionLast="47" xr6:coauthVersionMax="47" xr10:uidLastSave="{DF3EA24D-19BB-448C-8E9B-78ED1B622B5F}"/>
  <bookViews>
    <workbookView xWindow="-108" yWindow="-108" windowWidth="23256" windowHeight="13896" xr2:uid="{00000000-000D-0000-FFFF-FFFF00000000}"/>
  </bookViews>
  <sheets>
    <sheet name="Summary" sheetId="19" r:id="rId1"/>
    <sheet name="Sameer Sajit Sheikh" sheetId="2" r:id="rId2"/>
    <sheet name="Abdul Sheikh" sheetId="20" r:id="rId3"/>
    <sheet name="Nitin Suryavanshi" sheetId="18" r:id="rId4"/>
    <sheet name="VR Engineering" sheetId="1" r:id="rId5"/>
    <sheet name="Siddiq Shaikh" sheetId="3" r:id="rId6"/>
    <sheet name="Berade" sheetId="4" r:id="rId7"/>
    <sheet name="Imran Sheikh" sheetId="5" r:id="rId8"/>
    <sheet name="Awaiz Bibiyani" sheetId="6" r:id="rId9"/>
    <sheet name="M D Ansari" sheetId="7" r:id="rId10"/>
    <sheet name="Alam Ansari" sheetId="8" r:id="rId11"/>
    <sheet name="Sagar Chavan" sheetId="9" r:id="rId12"/>
    <sheet name="Kartik Pardeshi" sheetId="10" r:id="rId13"/>
    <sheet name="Ram Kishore" sheetId="11" r:id="rId14"/>
    <sheet name="Baban Bengal" sheetId="12" r:id="rId15"/>
    <sheet name="Bajrangi" sheetId="13" r:id="rId16"/>
    <sheet name="Pawan Rathod" sheetId="14" r:id="rId17"/>
    <sheet name="Ibrahim Sayyed" sheetId="15" r:id="rId18"/>
    <sheet name="Sayyed Usman" sheetId="16" r:id="rId19"/>
    <sheet name="Gora Sekh" sheetId="1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" i="19" l="1"/>
  <c r="H22" i="6" l="1"/>
  <c r="L13" i="19" s="1"/>
  <c r="L12" i="2"/>
  <c r="N15" i="1"/>
  <c r="G24" i="19"/>
  <c r="K24" i="19"/>
  <c r="C23" i="19"/>
  <c r="M23" i="19"/>
  <c r="L23" i="19"/>
  <c r="K23" i="19"/>
  <c r="I22" i="19"/>
  <c r="M22" i="19"/>
  <c r="L22" i="19"/>
  <c r="K22" i="19"/>
  <c r="D19" i="19"/>
  <c r="C19" i="19"/>
  <c r="M19" i="19"/>
  <c r="L19" i="19"/>
  <c r="K19" i="19"/>
  <c r="I18" i="19"/>
  <c r="L17" i="19"/>
  <c r="G16" i="19"/>
  <c r="D8" i="19"/>
  <c r="C8" i="19"/>
  <c r="N25" i="19"/>
  <c r="A7" i="19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G9" i="2"/>
  <c r="G10" i="2"/>
  <c r="G11" i="2"/>
  <c r="G8" i="2"/>
  <c r="B4" i="2"/>
  <c r="D12" i="2"/>
  <c r="C12" i="2"/>
  <c r="C8" i="18"/>
  <c r="B8" i="18"/>
  <c r="D4" i="18"/>
  <c r="D3" i="18"/>
  <c r="I13" i="18"/>
  <c r="L8" i="19" s="1"/>
  <c r="D7" i="18"/>
  <c r="D6" i="18"/>
  <c r="D5" i="18"/>
  <c r="C3" i="17"/>
  <c r="H4" i="17"/>
  <c r="B4" i="17"/>
  <c r="C4" i="17"/>
  <c r="C8" i="17" s="1"/>
  <c r="C3" i="16"/>
  <c r="C4" i="16" s="1"/>
  <c r="C8" i="16" s="1"/>
  <c r="H4" i="16"/>
  <c r="B4" i="16"/>
  <c r="C3" i="15"/>
  <c r="H6" i="15"/>
  <c r="L24" i="19" s="1"/>
  <c r="B4" i="15"/>
  <c r="C4" i="15"/>
  <c r="C3" i="14"/>
  <c r="H6" i="14"/>
  <c r="L21" i="19" s="1"/>
  <c r="B4" i="14"/>
  <c r="C4" i="14"/>
  <c r="K21" i="19" s="1"/>
  <c r="C4" i="13"/>
  <c r="C5" i="13"/>
  <c r="H11" i="13"/>
  <c r="L20" i="19" s="1"/>
  <c r="B6" i="13"/>
  <c r="F20" i="19" s="1"/>
  <c r="C3" i="13"/>
  <c r="C6" i="12"/>
  <c r="D4" i="12"/>
  <c r="D3" i="12"/>
  <c r="D5" i="12"/>
  <c r="I7" i="12"/>
  <c r="B6" i="12"/>
  <c r="H7" i="11"/>
  <c r="L18" i="19" s="1"/>
  <c r="C4" i="11"/>
  <c r="C3" i="11"/>
  <c r="B5" i="11"/>
  <c r="C3" i="10"/>
  <c r="C4" i="10"/>
  <c r="C5" i="10"/>
  <c r="H6" i="10"/>
  <c r="B6" i="10"/>
  <c r="G17" i="19" s="1"/>
  <c r="I11" i="9"/>
  <c r="L16" i="19" s="1"/>
  <c r="D6" i="9"/>
  <c r="D8" i="9"/>
  <c r="D9" i="9"/>
  <c r="D7" i="9"/>
  <c r="D4" i="9"/>
  <c r="D5" i="9"/>
  <c r="D3" i="9"/>
  <c r="B10" i="9"/>
  <c r="C11" i="7"/>
  <c r="B11" i="7"/>
  <c r="C14" i="19" s="1"/>
  <c r="B9" i="8"/>
  <c r="D15" i="19" s="1"/>
  <c r="C8" i="8"/>
  <c r="C9" i="8" s="1"/>
  <c r="K15" i="19" s="1"/>
  <c r="C7" i="8"/>
  <c r="C5" i="8"/>
  <c r="C6" i="8"/>
  <c r="C4" i="8"/>
  <c r="C3" i="8"/>
  <c r="H7" i="8"/>
  <c r="L15" i="19" s="1"/>
  <c r="I32" i="7"/>
  <c r="L14" i="19" s="1"/>
  <c r="D4" i="7"/>
  <c r="D5" i="7"/>
  <c r="D6" i="7"/>
  <c r="D7" i="7"/>
  <c r="D8" i="7"/>
  <c r="D8" i="18" l="1"/>
  <c r="C8" i="15"/>
  <c r="M24" i="19" s="1"/>
  <c r="C8" i="14"/>
  <c r="M21" i="19" s="1"/>
  <c r="C6" i="13"/>
  <c r="D6" i="12"/>
  <c r="D10" i="12" s="1"/>
  <c r="C5" i="11"/>
  <c r="C6" i="10"/>
  <c r="C10" i="9"/>
  <c r="E16" i="19" s="1"/>
  <c r="D10" i="9"/>
  <c r="K16" i="19" s="1"/>
  <c r="C13" i="8"/>
  <c r="M15" i="19" s="1"/>
  <c r="D9" i="7"/>
  <c r="D10" i="7"/>
  <c r="D3" i="7"/>
  <c r="D11" i="7" s="1"/>
  <c r="K14" i="19" s="1"/>
  <c r="C10" i="13" l="1"/>
  <c r="M20" i="19" s="1"/>
  <c r="K20" i="19"/>
  <c r="C9" i="11"/>
  <c r="M18" i="19" s="1"/>
  <c r="K18" i="19"/>
  <c r="C10" i="10"/>
  <c r="M17" i="19" s="1"/>
  <c r="K17" i="19"/>
  <c r="D12" i="18"/>
  <c r="M8" i="19" s="1"/>
  <c r="K8" i="19"/>
  <c r="D14" i="9"/>
  <c r="M16" i="19" s="1"/>
  <c r="D15" i="7"/>
  <c r="M14" i="19" s="1"/>
  <c r="C4" i="6"/>
  <c r="C5" i="6"/>
  <c r="C6" i="6"/>
  <c r="C7" i="6"/>
  <c r="C8" i="6"/>
  <c r="C9" i="6"/>
  <c r="C3" i="6"/>
  <c r="B10" i="6"/>
  <c r="J13" i="19" s="1"/>
  <c r="E4" i="5"/>
  <c r="E5" i="5"/>
  <c r="E6" i="5"/>
  <c r="E7" i="5"/>
  <c r="E3" i="5"/>
  <c r="D8" i="5"/>
  <c r="D12" i="19" s="1"/>
  <c r="C8" i="5"/>
  <c r="C12" i="19" s="1"/>
  <c r="B8" i="5"/>
  <c r="I12" i="19" s="1"/>
  <c r="J10" i="5"/>
  <c r="L12" i="19" s="1"/>
  <c r="D4" i="4"/>
  <c r="D5" i="4"/>
  <c r="D3" i="4"/>
  <c r="I10" i="4"/>
  <c r="L11" i="19" s="1"/>
  <c r="C6" i="4"/>
  <c r="D11" i="19" s="1"/>
  <c r="B6" i="4"/>
  <c r="C11" i="19" s="1"/>
  <c r="B16" i="3"/>
  <c r="E10" i="19" s="1"/>
  <c r="C16" i="3"/>
  <c r="G10" i="19" s="1"/>
  <c r="D4" i="3"/>
  <c r="D3" i="3"/>
  <c r="D6" i="3"/>
  <c r="D7" i="3"/>
  <c r="D8" i="3"/>
  <c r="D9" i="3"/>
  <c r="D10" i="3"/>
  <c r="D11" i="3"/>
  <c r="D12" i="3"/>
  <c r="D13" i="3"/>
  <c r="D14" i="3"/>
  <c r="D15" i="3"/>
  <c r="D5" i="3"/>
  <c r="I22" i="3"/>
  <c r="L10" i="19" s="1"/>
  <c r="G7" i="2"/>
  <c r="C10" i="6" l="1"/>
  <c r="E8" i="5"/>
  <c r="K12" i="19" s="1"/>
  <c r="E12" i="5"/>
  <c r="M12" i="19" s="1"/>
  <c r="D6" i="4"/>
  <c r="D16" i="3"/>
  <c r="C14" i="6" l="1"/>
  <c r="M13" i="19" s="1"/>
  <c r="K13" i="19"/>
  <c r="D10" i="4"/>
  <c r="M11" i="19" s="1"/>
  <c r="K11" i="19"/>
  <c r="D20" i="3"/>
  <c r="M10" i="19" s="1"/>
  <c r="K10" i="19"/>
  <c r="G4" i="2"/>
  <c r="E4" i="2"/>
  <c r="E12" i="2" s="1"/>
  <c r="E6" i="19" s="1"/>
  <c r="G5" i="2"/>
  <c r="G6" i="2"/>
  <c r="F12" i="2"/>
  <c r="H6" i="19" s="1"/>
  <c r="H25" i="19" s="1"/>
  <c r="L6" i="19" l="1"/>
  <c r="B12" i="2"/>
  <c r="D6" i="19" s="1"/>
  <c r="H11" i="1"/>
  <c r="F9" i="19" s="1"/>
  <c r="F25" i="19" s="1"/>
  <c r="G11" i="1"/>
  <c r="I9" i="19" s="1"/>
  <c r="I25" i="19" s="1"/>
  <c r="F11" i="1"/>
  <c r="J9" i="19" s="1"/>
  <c r="J25" i="19" s="1"/>
  <c r="E11" i="1"/>
  <c r="G9" i="19" s="1"/>
  <c r="G25" i="19" s="1"/>
  <c r="D11" i="1"/>
  <c r="E9" i="19" s="1"/>
  <c r="E25" i="19" s="1"/>
  <c r="C11" i="1"/>
  <c r="D9" i="19" s="1"/>
  <c r="B11" i="1"/>
  <c r="C9" i="19" s="1"/>
  <c r="C25" i="19" s="1"/>
  <c r="I8" i="1"/>
  <c r="I5" i="1"/>
  <c r="I6" i="1"/>
  <c r="I7" i="1"/>
  <c r="I9" i="1"/>
  <c r="I10" i="1"/>
  <c r="I4" i="1"/>
  <c r="D25" i="19" l="1"/>
  <c r="G12" i="2"/>
  <c r="L9" i="19"/>
  <c r="L25" i="19" s="1"/>
  <c r="G16" i="2" l="1"/>
  <c r="M6" i="19" s="1"/>
  <c r="K6" i="19"/>
  <c r="I11" i="1"/>
  <c r="I15" i="1" l="1"/>
  <c r="M9" i="19" s="1"/>
  <c r="M25" i="19" s="1"/>
  <c r="K9" i="19"/>
  <c r="K2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tc={7BF655BD-6A72-4A0F-A4FD-806D51F6E216}</author>
  </authors>
  <commentList>
    <comment ref="E4" authorId="0" shapeId="0" xr:uid="{7BF655BD-6A72-4A0F-A4FD-806D51F6E2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Electrical Full 58.5, Electrical Half 1 (58.5*600+1*300= 35400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tc={DFF08CCF-F1E4-4574-8BA6-7E8E466482BB}</author>
    <author>tc={FCD0737A-E00D-4001-A327-5C28211EBE1C}</author>
  </authors>
  <commentList>
    <comment ref="H10" authorId="0" shapeId="0" xr:uid="{DFF08CCF-F1E4-4574-8BA6-7E8E466482BB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Cutting Machine</t>
      </text>
    </comment>
    <comment ref="H11" authorId="1" shapeId="0" xr:uid="{FCD0737A-E00D-4001-A327-5C28211EBE1C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Bottom 3000+1500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tc={596C5E15-217A-46E1-ABCD-DFD3A6FBF7F1}</author>
  </authors>
  <commentList>
    <comment ref="G3" authorId="0" shapeId="0" xr:uid="{596C5E15-217A-46E1-ABCD-DFD3A6FBF7F1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Quality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tc={0FA87FCE-03D1-4EDA-8401-DC6AB9E702AF}</author>
  </authors>
  <commentList>
    <comment ref="H4" authorId="0" shapeId="0" xr:uid="{0FA87FCE-03D1-4EDA-8401-DC6AB9E702AF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Cutting Machine</t>
      </text>
    </comment>
  </commentList>
</comments>
</file>

<file path=xl/sharedStrings.xml><?xml version="1.0" encoding="utf-8"?>
<sst xmlns="http://schemas.openxmlformats.org/spreadsheetml/2006/main" count="560" uniqueCount="115">
  <si>
    <t>DATE</t>
  </si>
  <si>
    <t>AMOUNT</t>
  </si>
  <si>
    <t>BY</t>
  </si>
  <si>
    <t>MODE</t>
  </si>
  <si>
    <t>ABK</t>
  </si>
  <si>
    <t>Online</t>
  </si>
  <si>
    <t>AK</t>
  </si>
  <si>
    <t>TOTAL</t>
  </si>
  <si>
    <t>KOHJE SIR</t>
  </si>
  <si>
    <t>ANIL SIR</t>
  </si>
  <si>
    <t>CASH</t>
  </si>
  <si>
    <t>BAL</t>
  </si>
  <si>
    <t>Contractor Name : VR Engineering</t>
  </si>
  <si>
    <t>Cash</t>
  </si>
  <si>
    <t>FAB</t>
  </si>
  <si>
    <t>CEMENT</t>
  </si>
  <si>
    <t>ELEC</t>
  </si>
  <si>
    <t>PLUM</t>
  </si>
  <si>
    <t>INNER</t>
  </si>
  <si>
    <t>OUTER</t>
  </si>
  <si>
    <t>TILES</t>
  </si>
  <si>
    <t>Balance Payable</t>
  </si>
  <si>
    <t>WORK</t>
  </si>
  <si>
    <t>RATE</t>
  </si>
  <si>
    <t>Fabrication</t>
  </si>
  <si>
    <t>Cement Sheet</t>
  </si>
  <si>
    <t>Electrical</t>
  </si>
  <si>
    <t>Plumbing</t>
  </si>
  <si>
    <t>Inner Colour</t>
  </si>
  <si>
    <t>Outer Colour</t>
  </si>
  <si>
    <t>Tiles</t>
  </si>
  <si>
    <t>Rate Card</t>
  </si>
  <si>
    <t>DOOR FITTING</t>
  </si>
  <si>
    <t>CEMENT SHEET</t>
  </si>
  <si>
    <t>KPR</t>
  </si>
  <si>
    <t>KARODI</t>
  </si>
  <si>
    <t>ANIL</t>
  </si>
  <si>
    <t>Previous</t>
  </si>
  <si>
    <t>19.05.2026</t>
  </si>
  <si>
    <t>PLUMBING</t>
  </si>
  <si>
    <t>02.07.2026</t>
  </si>
  <si>
    <t>20.07.2026</t>
  </si>
  <si>
    <t>Debit</t>
  </si>
  <si>
    <t>Contractor Name : Berade</t>
  </si>
  <si>
    <t>ADV</t>
  </si>
  <si>
    <t>13.06.2026</t>
  </si>
  <si>
    <t xml:space="preserve">Cement </t>
  </si>
  <si>
    <t>Outer</t>
  </si>
  <si>
    <t>PAID</t>
  </si>
  <si>
    <t>Contractor Name : Awaiz Bibiyani</t>
  </si>
  <si>
    <t>Inner</t>
  </si>
  <si>
    <t>16.07.2026</t>
  </si>
  <si>
    <t>SK</t>
  </si>
  <si>
    <t>ARN</t>
  </si>
  <si>
    <t>Kasbe</t>
  </si>
  <si>
    <t>Shed</t>
  </si>
  <si>
    <t>SHED</t>
  </si>
  <si>
    <t>Revised</t>
  </si>
  <si>
    <t>PLUMB</t>
  </si>
  <si>
    <t>Light Fitting</t>
  </si>
  <si>
    <t>Revised Plumbing</t>
  </si>
  <si>
    <t>Contractor Name : Kartik Pardeshi</t>
  </si>
  <si>
    <t>Contractor Name : Ram Kishore</t>
  </si>
  <si>
    <t>CEM</t>
  </si>
  <si>
    <t>Cement</t>
  </si>
  <si>
    <t>Contractor Name : Bajrangi</t>
  </si>
  <si>
    <t>Contractor Name : Pawan Rathod</t>
  </si>
  <si>
    <t>Contractor Name : Ibrahim Sayyed</t>
  </si>
  <si>
    <t>Contractor Name : Sayyed Usman</t>
  </si>
  <si>
    <t>Contractor Name : Gora Sekh</t>
  </si>
  <si>
    <t>Contractor Name : Nitin Suryavanshi</t>
  </si>
  <si>
    <t>07.07.2026</t>
  </si>
  <si>
    <t>SR. NO.</t>
  </si>
  <si>
    <t>CONTRACTOR NAME</t>
  </si>
  <si>
    <t>BALANCE PAYABLE</t>
  </si>
  <si>
    <t>FABRICATION</t>
  </si>
  <si>
    <t>ELECTRICAL</t>
  </si>
  <si>
    <t>OUTER COLOUR</t>
  </si>
  <si>
    <t>INNER COLOUR</t>
  </si>
  <si>
    <t>Sameer</t>
  </si>
  <si>
    <t>Date :</t>
  </si>
  <si>
    <t>Abdul Sheikh</t>
  </si>
  <si>
    <t>Nitin Suryavanshi</t>
  </si>
  <si>
    <t>VR Engieering</t>
  </si>
  <si>
    <t>Berade</t>
  </si>
  <si>
    <t>Imran</t>
  </si>
  <si>
    <t>Awaiz Bibiyani</t>
  </si>
  <si>
    <t>Kartik Pardeshi</t>
  </si>
  <si>
    <t>Ram Kishore</t>
  </si>
  <si>
    <t>Baban Bengal</t>
  </si>
  <si>
    <t>Bajrangi</t>
  </si>
  <si>
    <t>Pawan Rathod</t>
  </si>
  <si>
    <t>Gora Sekh</t>
  </si>
  <si>
    <t>Sayyed Usman</t>
  </si>
  <si>
    <t>Ibrahim Sayyed</t>
  </si>
  <si>
    <t>TOTAL AMOUNT</t>
  </si>
  <si>
    <t>TOTAL PAYMENT</t>
  </si>
  <si>
    <t>REMARK  (If any)</t>
  </si>
  <si>
    <t xml:space="preserve">                                                                                                        CONTRACTOR PAYMENT                                          Period : From                     to                            .</t>
  </si>
  <si>
    <t>Contractor Name : Sagar Chavan</t>
  </si>
  <si>
    <t>Sagar Chavan</t>
  </si>
  <si>
    <t>Alam Ansari</t>
  </si>
  <si>
    <t>MDAnsari</t>
  </si>
  <si>
    <t>Siddiq Shaikh</t>
  </si>
  <si>
    <t>Sudam Mhaske</t>
  </si>
  <si>
    <t>Atul Meshram</t>
  </si>
  <si>
    <t>Contractor Name : Alam Ansari</t>
  </si>
  <si>
    <t>Contractor Name : MD Ansari</t>
  </si>
  <si>
    <t>Contractor Name : Imran Sheikh</t>
  </si>
  <si>
    <t>Contractor Name : Siddiq Shaikh</t>
  </si>
  <si>
    <t>Contractor Name : Sameer Sajit Shaikh</t>
  </si>
  <si>
    <t>Afees Sayyed</t>
  </si>
  <si>
    <t>Rahul Bansode</t>
  </si>
  <si>
    <t>MATCH</t>
  </si>
  <si>
    <t>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</si>
</sst>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14" fontId="3" fillId="0" borderId="2" xfId="0" applyNumberFormat="1" applyFont="1" applyBorder="1"/>
    <xf numFmtId="0" fontId="3" fillId="0" borderId="2" xfId="0" applyFont="1" applyBorder="1"/>
    <xf numFmtId="164" fontId="3" fillId="0" borderId="2" xfId="1" applyNumberFormat="1" applyFont="1" applyBorder="1"/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2" fillId="0" borderId="2" xfId="1" applyNumberFormat="1" applyFont="1" applyBorder="1"/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2" fontId="4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164" fontId="0" fillId="0" borderId="0" xfId="0" applyNumberFormat="1"/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3" fillId="0" borderId="5" xfId="0" applyFont="1" applyBorder="1"/>
    <xf numFmtId="164" fontId="3" fillId="0" borderId="2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5" fillId="0" borderId="2" xfId="1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abasaheb Khoje" id="{87E9269C-A93E-4390-843D-C1582C5C3F1D}" userId="9a7fe20aebd7c7d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6-08-03T11:39:02.64" personId="{87E9269C-A93E-4390-843D-C1582C5C3F1D}" id="{7BF655BD-6A72-4A0F-A4FD-806D51F6E216}">
    <text xml:space="preserve">Electrical Full 58.5, Electrical Half 1 (58.5*600+1*300= 35400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0" dT="2026-08-04T14:34:39.75" personId="{87E9269C-A93E-4390-843D-C1582C5C3F1D}" id="{DFF08CCF-F1E4-4574-8BA6-7E8E466482BB}">
    <text>Cutting Machine</text>
  </threadedComment>
  <threadedComment ref="H11" dT="2026-08-04T14:34:39.75" personId="{87E9269C-A93E-4390-843D-C1582C5C3F1D}" id="{FCD0737A-E00D-4001-A327-5C28211EBE1C}">
    <text>Top Bottom 3000+1500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" dT="2026-08-04T13:59:10.95" personId="{87E9269C-A93E-4390-843D-C1582C5C3F1D}" id="{596C5E15-217A-46E1-ABCD-DFD3A6FBF7F1}">
    <text>Bad Quality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4" dT="2026-08-04T13:59:10.95" personId="{87E9269C-A93E-4390-843D-C1582C5C3F1D}" id="{0FA87FCE-03D1-4EDA-8401-DC6AB9E702AF}">
    <text>Cutting Machine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1775-1228-46DA-99EA-3B918912F0C7}">
  <sheetPr>
    <pageSetUpPr fitToPage="1"/>
  </sheetPr>
  <dimension ref="A1:R31"/>
  <sheetViews>
    <sheetView tabSelected="1" workbookViewId="0">
      <selection activeCell="R11" sqref="R11"/>
    </sheetView>
  </sheetViews>
  <sheetFormatPr defaultRowHeight="15.6" x14ac:dyDescent="0.3"/>
  <cols>
    <col min="1" max="1" width="5.6640625" style="1" customWidth="1"/>
    <col min="2" max="2" width="17.109375" style="1" customWidth="1"/>
    <col min="3" max="3" width="10.6640625" style="1" customWidth="1"/>
    <col min="4" max="4" width="10.5546875" style="1" customWidth="1"/>
    <col min="5" max="5" width="9.109375" style="1" customWidth="1"/>
    <col min="6" max="6" width="7.21875" style="1" customWidth="1"/>
    <col min="7" max="7" width="8.6640625" style="1" customWidth="1"/>
    <col min="8" max="8" width="10.21875" style="1" customWidth="1"/>
    <col min="9" max="9" width="10.88671875" style="1" customWidth="1"/>
    <col min="10" max="10" width="11" style="1" customWidth="1"/>
    <col min="11" max="11" width="10.77734375" style="1" customWidth="1"/>
    <col min="12" max="12" width="11.77734375" style="1" customWidth="1"/>
    <col min="13" max="13" width="11.88671875" style="1" customWidth="1"/>
    <col min="14" max="14" width="9.88671875" style="1" bestFit="1" customWidth="1"/>
    <col min="15" max="15" width="11.44140625" style="1" bestFit="1" customWidth="1"/>
    <col min="16" max="16384" width="8.88671875" style="1"/>
  </cols>
  <sheetData>
    <row r="1" spans="1:15" x14ac:dyDescent="0.3">
      <c r="A1" s="25" t="s">
        <v>80</v>
      </c>
    </row>
    <row r="3" spans="1:15" x14ac:dyDescent="0.3">
      <c r="A3" s="35" t="s">
        <v>98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x14ac:dyDescent="0.3">
      <c r="A4" s="32" t="s">
        <v>72</v>
      </c>
      <c r="B4" s="32" t="s">
        <v>73</v>
      </c>
      <c r="C4" s="32" t="s">
        <v>75</v>
      </c>
      <c r="D4" s="32" t="s">
        <v>33</v>
      </c>
      <c r="E4" s="32" t="s">
        <v>76</v>
      </c>
      <c r="F4" s="32" t="s">
        <v>20</v>
      </c>
      <c r="G4" s="32" t="s">
        <v>39</v>
      </c>
      <c r="H4" s="32" t="s">
        <v>32</v>
      </c>
      <c r="I4" s="32" t="s">
        <v>77</v>
      </c>
      <c r="J4" s="32" t="s">
        <v>78</v>
      </c>
      <c r="K4" s="32" t="s">
        <v>95</v>
      </c>
      <c r="L4" s="32" t="s">
        <v>96</v>
      </c>
      <c r="M4" s="32" t="s">
        <v>74</v>
      </c>
      <c r="N4" s="32" t="s">
        <v>48</v>
      </c>
      <c r="O4" s="32" t="s">
        <v>97</v>
      </c>
    </row>
    <row r="5" spans="1:15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x14ac:dyDescent="0.3">
      <c r="A6" s="7">
        <v>1</v>
      </c>
      <c r="B6" s="4" t="s">
        <v>79</v>
      </c>
      <c r="C6" s="7">
        <v>0</v>
      </c>
      <c r="D6" s="7">
        <f>+'Sameer Sajit Sheikh'!B12+'Sameer Sajit Sheikh'!C12+'Sameer Sajit Sheikh'!D12</f>
        <v>104</v>
      </c>
      <c r="E6" s="7">
        <f>+'Sameer Sajit Sheikh'!E12</f>
        <v>77.5</v>
      </c>
      <c r="F6" s="7"/>
      <c r="G6" s="7"/>
      <c r="H6" s="7">
        <f>+'Sameer Sajit Sheikh'!F12</f>
        <v>29</v>
      </c>
      <c r="I6" s="7"/>
      <c r="J6" s="7"/>
      <c r="K6" s="29">
        <f>+'Sameer Sajit Sheikh'!G12</f>
        <v>762160</v>
      </c>
      <c r="L6" s="29">
        <f>+'Sameer Sajit Sheikh'!L12</f>
        <v>711360</v>
      </c>
      <c r="M6" s="31">
        <f>+'Sameer Sajit Sheikh'!G16</f>
        <v>50800</v>
      </c>
      <c r="N6" s="7"/>
      <c r="O6" s="4"/>
    </row>
    <row r="7" spans="1:15" x14ac:dyDescent="0.3">
      <c r="A7" s="7">
        <f>+A6+1</f>
        <v>2</v>
      </c>
      <c r="B7" s="4" t="s">
        <v>81</v>
      </c>
      <c r="C7" s="7"/>
      <c r="D7" s="7"/>
      <c r="E7" s="7"/>
      <c r="F7" s="7"/>
      <c r="G7" s="7"/>
      <c r="H7" s="7"/>
      <c r="I7" s="7"/>
      <c r="J7" s="7"/>
      <c r="K7" s="29"/>
      <c r="L7" s="29"/>
      <c r="M7" s="5"/>
      <c r="N7" s="7"/>
      <c r="O7" s="4"/>
    </row>
    <row r="8" spans="1:15" x14ac:dyDescent="0.3">
      <c r="A8" s="7">
        <f t="shared" ref="A8:A24" si="0">+A7+1</f>
        <v>3</v>
      </c>
      <c r="B8" s="4" t="s">
        <v>82</v>
      </c>
      <c r="C8" s="7">
        <f>+'Nitin Suryavanshi'!B8</f>
        <v>10</v>
      </c>
      <c r="D8" s="7">
        <f>+'Nitin Suryavanshi'!C8</f>
        <v>9</v>
      </c>
      <c r="E8" s="7"/>
      <c r="F8" s="7"/>
      <c r="G8" s="7"/>
      <c r="H8" s="7"/>
      <c r="I8" s="7"/>
      <c r="J8" s="7"/>
      <c r="K8" s="29">
        <f>+'Nitin Suryavanshi'!D8</f>
        <v>182500</v>
      </c>
      <c r="L8" s="29">
        <f>+'Nitin Suryavanshi'!I13</f>
        <v>146050</v>
      </c>
      <c r="M8" s="31">
        <f>+'Nitin Suryavanshi'!D12</f>
        <v>36450</v>
      </c>
      <c r="N8" s="7" t="s">
        <v>114</v>
      </c>
      <c r="O8" s="4"/>
    </row>
    <row r="9" spans="1:15" x14ac:dyDescent="0.3">
      <c r="A9" s="7">
        <f t="shared" si="0"/>
        <v>4</v>
      </c>
      <c r="B9" s="4" t="s">
        <v>83</v>
      </c>
      <c r="C9" s="7">
        <f>+'VR Engineering'!B11</f>
        <v>58</v>
      </c>
      <c r="D9" s="7">
        <f>+'VR Engineering'!C11</f>
        <v>46</v>
      </c>
      <c r="E9" s="7">
        <f>+'VR Engineering'!D11</f>
        <v>22</v>
      </c>
      <c r="F9" s="7">
        <f>+'VR Engineering'!H11</f>
        <v>15</v>
      </c>
      <c r="G9" s="7">
        <f>+'VR Engineering'!E11</f>
        <v>17</v>
      </c>
      <c r="H9" s="7"/>
      <c r="I9" s="7">
        <f>+'VR Engineering'!G11</f>
        <v>2</v>
      </c>
      <c r="J9" s="7">
        <f>+'VR Engineering'!F11</f>
        <v>12</v>
      </c>
      <c r="K9" s="29">
        <f>+'VR Engineering'!I11</f>
        <v>1331000</v>
      </c>
      <c r="L9" s="29">
        <f>+'VR Engineering'!N15</f>
        <v>1201500</v>
      </c>
      <c r="M9" s="8">
        <f>+'VR Engineering'!I15</f>
        <v>129500</v>
      </c>
      <c r="N9" s="7" t="s">
        <v>113</v>
      </c>
      <c r="O9" s="4"/>
    </row>
    <row r="10" spans="1:15" x14ac:dyDescent="0.3">
      <c r="A10" s="7">
        <f t="shared" si="0"/>
        <v>5</v>
      </c>
      <c r="B10" s="4" t="s">
        <v>103</v>
      </c>
      <c r="C10" s="7"/>
      <c r="D10" s="7"/>
      <c r="E10" s="7">
        <f>+'Siddiq Shaikh'!B16</f>
        <v>69</v>
      </c>
      <c r="F10" s="7"/>
      <c r="G10" s="7">
        <f>+'Siddiq Shaikh'!C16</f>
        <v>66</v>
      </c>
      <c r="H10" s="7"/>
      <c r="I10" s="7"/>
      <c r="J10" s="7"/>
      <c r="K10" s="29">
        <f>+'Siddiq Shaikh'!D16</f>
        <v>330750</v>
      </c>
      <c r="L10" s="29">
        <f>+'Siddiq Shaikh'!I22</f>
        <v>378450</v>
      </c>
      <c r="M10" s="31">
        <f>+'Siddiq Shaikh'!D20</f>
        <v>-47700</v>
      </c>
      <c r="N10" s="7"/>
      <c r="O10" s="4"/>
    </row>
    <row r="11" spans="1:15" x14ac:dyDescent="0.3">
      <c r="A11" s="7">
        <f t="shared" si="0"/>
        <v>6</v>
      </c>
      <c r="B11" s="4" t="s">
        <v>84</v>
      </c>
      <c r="C11" s="7">
        <f>+Berade!B6</f>
        <v>28</v>
      </c>
      <c r="D11" s="7">
        <f>+Berade!C6</f>
        <v>2</v>
      </c>
      <c r="E11" s="7"/>
      <c r="F11" s="7"/>
      <c r="G11" s="7"/>
      <c r="H11" s="7"/>
      <c r="I11" s="7"/>
      <c r="J11" s="7"/>
      <c r="K11" s="29">
        <f>+Berade!D6</f>
        <v>350000</v>
      </c>
      <c r="L11" s="29">
        <f>+Berade!I10</f>
        <v>304000</v>
      </c>
      <c r="M11" s="8">
        <f>+Berade!D10</f>
        <v>46000</v>
      </c>
      <c r="N11" s="7"/>
      <c r="O11" s="4"/>
    </row>
    <row r="12" spans="1:15" x14ac:dyDescent="0.3">
      <c r="A12" s="7">
        <f t="shared" si="0"/>
        <v>7</v>
      </c>
      <c r="B12" s="4" t="s">
        <v>85</v>
      </c>
      <c r="C12" s="7">
        <f>+'Imran Sheikh'!C8</f>
        <v>39</v>
      </c>
      <c r="D12" s="7">
        <f>+'Imran Sheikh'!D8</f>
        <v>39</v>
      </c>
      <c r="E12" s="7"/>
      <c r="F12" s="7"/>
      <c r="G12" s="7"/>
      <c r="H12" s="7"/>
      <c r="I12" s="7">
        <f>+'Imran Sheikh'!B8</f>
        <v>94</v>
      </c>
      <c r="J12" s="7"/>
      <c r="K12" s="29">
        <f>+'Imran Sheikh'!E8</f>
        <v>976000</v>
      </c>
      <c r="L12" s="29">
        <f>+'Imran Sheikh'!J10</f>
        <v>733500</v>
      </c>
      <c r="M12" s="8">
        <f>+'Imran Sheikh'!E12</f>
        <v>242500</v>
      </c>
      <c r="N12" s="7"/>
      <c r="O12" s="4"/>
    </row>
    <row r="13" spans="1:15" x14ac:dyDescent="0.3">
      <c r="A13" s="7">
        <f t="shared" si="0"/>
        <v>8</v>
      </c>
      <c r="B13" s="4" t="s">
        <v>86</v>
      </c>
      <c r="C13" s="7"/>
      <c r="D13" s="7"/>
      <c r="E13" s="7"/>
      <c r="F13" s="7"/>
      <c r="G13" s="7"/>
      <c r="H13" s="7"/>
      <c r="I13" s="7"/>
      <c r="J13" s="7">
        <f>+'Awaiz Bibiyani'!B10</f>
        <v>196</v>
      </c>
      <c r="K13" s="29">
        <f>+'Awaiz Bibiyani'!C10</f>
        <v>588000</v>
      </c>
      <c r="L13" s="29">
        <f>+'Awaiz Bibiyani'!H22</f>
        <v>465500</v>
      </c>
      <c r="M13" s="31">
        <f>+'Awaiz Bibiyani'!C14</f>
        <v>122500</v>
      </c>
      <c r="N13" s="40"/>
      <c r="O13" s="4"/>
    </row>
    <row r="14" spans="1:15" x14ac:dyDescent="0.3">
      <c r="A14" s="7">
        <f t="shared" si="0"/>
        <v>9</v>
      </c>
      <c r="B14" s="4" t="s">
        <v>102</v>
      </c>
      <c r="C14" s="7">
        <f>+'M D Ansari'!B11</f>
        <v>108</v>
      </c>
      <c r="D14" s="7"/>
      <c r="E14" s="7"/>
      <c r="F14" s="7"/>
      <c r="G14" s="7"/>
      <c r="H14" s="7"/>
      <c r="I14" s="7"/>
      <c r="J14" s="7"/>
      <c r="K14" s="29">
        <f>+'M D Ansari'!D11</f>
        <v>1346000</v>
      </c>
      <c r="L14" s="29">
        <f>+'M D Ansari'!I32</f>
        <v>1262000</v>
      </c>
      <c r="M14" s="8">
        <f>+'M D Ansari'!D15</f>
        <v>84000</v>
      </c>
      <c r="N14" s="7"/>
      <c r="O14" s="4"/>
    </row>
    <row r="15" spans="1:15" x14ac:dyDescent="0.3">
      <c r="A15" s="7">
        <f t="shared" si="0"/>
        <v>10</v>
      </c>
      <c r="B15" s="4" t="s">
        <v>101</v>
      </c>
      <c r="C15" s="7"/>
      <c r="D15" s="7">
        <f>+'Alam Ansari'!B9</f>
        <v>32</v>
      </c>
      <c r="E15" s="7"/>
      <c r="F15" s="7"/>
      <c r="G15" s="7"/>
      <c r="H15" s="7"/>
      <c r="I15" s="7"/>
      <c r="J15" s="7"/>
      <c r="K15" s="29">
        <f>+'Alam Ansari'!C9</f>
        <v>217500</v>
      </c>
      <c r="L15" s="29">
        <f>+'Alam Ansari'!H7</f>
        <v>217500</v>
      </c>
      <c r="M15" s="8">
        <f>+'Alam Ansari'!C13</f>
        <v>0</v>
      </c>
      <c r="N15" s="7"/>
      <c r="O15" s="4"/>
    </row>
    <row r="16" spans="1:15" x14ac:dyDescent="0.3">
      <c r="A16" s="7">
        <f t="shared" si="0"/>
        <v>11</v>
      </c>
      <c r="B16" s="4" t="s">
        <v>100</v>
      </c>
      <c r="C16" s="7"/>
      <c r="D16" s="7"/>
      <c r="E16" s="7">
        <f>+'Sagar Chavan'!C10</f>
        <v>108</v>
      </c>
      <c r="F16" s="7"/>
      <c r="G16" s="7">
        <f>+'Sagar Chavan'!B10</f>
        <v>20</v>
      </c>
      <c r="H16" s="7"/>
      <c r="I16" s="7"/>
      <c r="J16" s="7"/>
      <c r="K16" s="29">
        <f>+'Sagar Chavan'!D10</f>
        <v>139600</v>
      </c>
      <c r="L16" s="29">
        <f>+'Sagar Chavan'!I11</f>
        <v>129100</v>
      </c>
      <c r="M16" s="8">
        <f>+'Sagar Chavan'!D14</f>
        <v>10500</v>
      </c>
      <c r="N16" s="7"/>
      <c r="O16" s="4"/>
    </row>
    <row r="17" spans="1:18" x14ac:dyDescent="0.3">
      <c r="A17" s="7">
        <f t="shared" si="0"/>
        <v>12</v>
      </c>
      <c r="B17" s="4" t="s">
        <v>87</v>
      </c>
      <c r="C17" s="7"/>
      <c r="D17" s="7"/>
      <c r="E17" s="7"/>
      <c r="F17" s="7"/>
      <c r="G17" s="7">
        <f>+'Kartik Pardeshi'!B6</f>
        <v>28</v>
      </c>
      <c r="H17" s="7"/>
      <c r="I17" s="7"/>
      <c r="J17" s="7"/>
      <c r="K17" s="29">
        <f>+'Kartik Pardeshi'!C6</f>
        <v>115500</v>
      </c>
      <c r="L17" s="29">
        <f>+'Kartik Pardeshi'!H6</f>
        <v>88500</v>
      </c>
      <c r="M17" s="8">
        <f>+'Kartik Pardeshi'!C10</f>
        <v>27000</v>
      </c>
      <c r="N17" s="7"/>
      <c r="O17" s="4"/>
    </row>
    <row r="18" spans="1:18" x14ac:dyDescent="0.3">
      <c r="A18" s="7">
        <f t="shared" si="0"/>
        <v>13</v>
      </c>
      <c r="B18" s="4" t="s">
        <v>88</v>
      </c>
      <c r="C18" s="7"/>
      <c r="D18" s="7"/>
      <c r="E18" s="7"/>
      <c r="F18" s="7"/>
      <c r="G18" s="7"/>
      <c r="H18" s="7"/>
      <c r="I18" s="7">
        <f>+'Ram Kishore'!B5</f>
        <v>28</v>
      </c>
      <c r="J18" s="7"/>
      <c r="K18" s="29">
        <f>+'Ram Kishore'!C5</f>
        <v>70000</v>
      </c>
      <c r="L18" s="29">
        <f>+'Ram Kishore'!H7</f>
        <v>53750</v>
      </c>
      <c r="M18" s="31">
        <f>+'Ram Kishore'!C9</f>
        <v>16250</v>
      </c>
      <c r="N18" s="7"/>
      <c r="O18" s="4"/>
    </row>
    <row r="19" spans="1:18" x14ac:dyDescent="0.3">
      <c r="A19" s="7">
        <f t="shared" si="0"/>
        <v>14</v>
      </c>
      <c r="B19" s="4" t="s">
        <v>89</v>
      </c>
      <c r="C19" s="7">
        <f>+'Baban Bengal'!B6</f>
        <v>8</v>
      </c>
      <c r="D19" s="7">
        <f>+'Baban Bengal'!C6</f>
        <v>8</v>
      </c>
      <c r="E19" s="7"/>
      <c r="F19" s="7"/>
      <c r="G19" s="7"/>
      <c r="H19" s="7"/>
      <c r="I19" s="7"/>
      <c r="J19" s="7"/>
      <c r="K19" s="29">
        <f>+'Baban Bengal'!D6</f>
        <v>147500</v>
      </c>
      <c r="L19" s="29">
        <f>+'Baban Bengal'!I7</f>
        <v>128500</v>
      </c>
      <c r="M19" s="8">
        <f>+'Baban Bengal'!D10</f>
        <v>19000</v>
      </c>
      <c r="N19" s="7"/>
      <c r="O19" s="4"/>
    </row>
    <row r="20" spans="1:18" x14ac:dyDescent="0.3">
      <c r="A20" s="7">
        <f t="shared" si="0"/>
        <v>15</v>
      </c>
      <c r="B20" s="4" t="s">
        <v>90</v>
      </c>
      <c r="C20" s="7"/>
      <c r="D20" s="7"/>
      <c r="E20" s="7"/>
      <c r="F20" s="7">
        <f>+Bajrangi!B6</f>
        <v>33</v>
      </c>
      <c r="G20" s="7"/>
      <c r="H20" s="7"/>
      <c r="I20" s="7"/>
      <c r="J20" s="7"/>
      <c r="K20" s="29">
        <f>+Bajrangi!C6</f>
        <v>198000</v>
      </c>
      <c r="L20" s="29">
        <f>+Bajrangi!H11</f>
        <v>156000</v>
      </c>
      <c r="M20" s="8">
        <f>+Bajrangi!C10</f>
        <v>42000</v>
      </c>
      <c r="N20" s="7"/>
      <c r="O20" s="4"/>
      <c r="R20" s="1">
        <f>3500*100</f>
        <v>350000</v>
      </c>
    </row>
    <row r="21" spans="1:18" x14ac:dyDescent="0.3">
      <c r="A21" s="7">
        <f t="shared" si="0"/>
        <v>16</v>
      </c>
      <c r="B21" s="4" t="s">
        <v>91</v>
      </c>
      <c r="C21" s="7"/>
      <c r="D21" s="7"/>
      <c r="E21" s="7"/>
      <c r="F21" s="7"/>
      <c r="G21" s="7"/>
      <c r="H21" s="7"/>
      <c r="I21" s="7"/>
      <c r="J21" s="7"/>
      <c r="K21" s="29">
        <f>+'Pawan Rathod'!C4</f>
        <v>42500</v>
      </c>
      <c r="L21" s="29">
        <f>+'Pawan Rathod'!H6</f>
        <v>33250</v>
      </c>
      <c r="M21" s="31">
        <f>+'Pawan Rathod'!C8</f>
        <v>9250</v>
      </c>
      <c r="N21" s="7"/>
      <c r="O21" s="4"/>
    </row>
    <row r="22" spans="1:18" x14ac:dyDescent="0.3">
      <c r="A22" s="7">
        <f t="shared" si="0"/>
        <v>17</v>
      </c>
      <c r="B22" s="4" t="s">
        <v>93</v>
      </c>
      <c r="C22" s="7"/>
      <c r="D22" s="7"/>
      <c r="E22" s="7"/>
      <c r="F22" s="7"/>
      <c r="G22" s="7"/>
      <c r="H22" s="7"/>
      <c r="I22" s="7">
        <f>+'Sayyed Usman'!B4</f>
        <v>16</v>
      </c>
      <c r="J22" s="7"/>
      <c r="K22" s="29">
        <f>+'Sayyed Usman'!C4</f>
        <v>40000</v>
      </c>
      <c r="L22" s="29">
        <f>+'Sayyed Usman'!H4</f>
        <v>0</v>
      </c>
      <c r="M22" s="8">
        <f>+'Sayyed Usman'!C8</f>
        <v>40000</v>
      </c>
      <c r="N22" s="7"/>
      <c r="O22" s="4"/>
    </row>
    <row r="23" spans="1:18" x14ac:dyDescent="0.3">
      <c r="A23" s="7">
        <f t="shared" si="0"/>
        <v>18</v>
      </c>
      <c r="B23" s="4" t="s">
        <v>92</v>
      </c>
      <c r="C23" s="7">
        <f>+'Gora Sekh'!B4</f>
        <v>1</v>
      </c>
      <c r="D23" s="7"/>
      <c r="E23" s="7"/>
      <c r="F23" s="7"/>
      <c r="G23" s="7"/>
      <c r="H23" s="7"/>
      <c r="I23" s="7"/>
      <c r="J23" s="7"/>
      <c r="K23" s="29">
        <f>+'Gora Sekh'!C4</f>
        <v>12000</v>
      </c>
      <c r="L23" s="29">
        <f>+'Gora Sekh'!H4</f>
        <v>0</v>
      </c>
      <c r="M23" s="8">
        <f>+'Gora Sekh'!C8</f>
        <v>12000</v>
      </c>
      <c r="N23" s="7"/>
      <c r="O23" s="4"/>
    </row>
    <row r="24" spans="1:18" x14ac:dyDescent="0.3">
      <c r="A24" s="7">
        <f t="shared" si="0"/>
        <v>19</v>
      </c>
      <c r="B24" s="4" t="s">
        <v>94</v>
      </c>
      <c r="C24" s="7"/>
      <c r="D24" s="7"/>
      <c r="E24" s="7"/>
      <c r="F24" s="7"/>
      <c r="G24" s="7">
        <f>+'Ibrahim Sayyed'!B4</f>
        <v>16</v>
      </c>
      <c r="H24" s="7"/>
      <c r="I24" s="7"/>
      <c r="J24" s="7"/>
      <c r="K24" s="29">
        <f>+'Ibrahim Sayyed'!C4</f>
        <v>56000</v>
      </c>
      <c r="L24" s="29">
        <f>+'Ibrahim Sayyed'!H6</f>
        <v>28000</v>
      </c>
      <c r="M24" s="8">
        <f>+'Ibrahim Sayyed'!C8</f>
        <v>28000</v>
      </c>
      <c r="N24" s="7"/>
      <c r="O24" s="4"/>
    </row>
    <row r="25" spans="1:18" ht="16.2" thickBot="1" x14ac:dyDescent="0.35">
      <c r="A25" s="34" t="s">
        <v>7</v>
      </c>
      <c r="B25" s="34"/>
      <c r="C25" s="26">
        <f>+SUM(C6:C24)</f>
        <v>252</v>
      </c>
      <c r="D25" s="26">
        <f t="shared" ref="D25:N25" si="1">+SUM(D6:D24)</f>
        <v>240</v>
      </c>
      <c r="E25" s="26">
        <f t="shared" si="1"/>
        <v>276.5</v>
      </c>
      <c r="F25" s="26">
        <f t="shared" si="1"/>
        <v>48</v>
      </c>
      <c r="G25" s="26">
        <f t="shared" si="1"/>
        <v>147</v>
      </c>
      <c r="H25" s="26">
        <f t="shared" si="1"/>
        <v>29</v>
      </c>
      <c r="I25" s="26">
        <f t="shared" si="1"/>
        <v>140</v>
      </c>
      <c r="J25" s="26">
        <f t="shared" si="1"/>
        <v>208</v>
      </c>
      <c r="K25" s="30">
        <f t="shared" si="1"/>
        <v>6905010</v>
      </c>
      <c r="L25" s="30">
        <f t="shared" si="1"/>
        <v>6036960</v>
      </c>
      <c r="M25" s="30">
        <f t="shared" si="1"/>
        <v>868050</v>
      </c>
      <c r="N25" s="27">
        <f t="shared" si="1"/>
        <v>0</v>
      </c>
      <c r="O25" s="28"/>
    </row>
    <row r="26" spans="1:18" ht="16.2" thickTop="1" x14ac:dyDescent="0.3"/>
    <row r="27" spans="1:18" x14ac:dyDescent="0.3">
      <c r="B27" s="1" t="s">
        <v>104</v>
      </c>
    </row>
    <row r="28" spans="1:18" x14ac:dyDescent="0.3">
      <c r="B28" s="1" t="s">
        <v>105</v>
      </c>
    </row>
    <row r="29" spans="1:18" x14ac:dyDescent="0.3">
      <c r="B29" s="1" t="s">
        <v>81</v>
      </c>
    </row>
    <row r="30" spans="1:18" x14ac:dyDescent="0.3">
      <c r="B30" s="1" t="s">
        <v>111</v>
      </c>
    </row>
    <row r="31" spans="1:18" x14ac:dyDescent="0.3">
      <c r="B31" s="1" t="s">
        <v>112</v>
      </c>
    </row>
  </sheetData>
  <mergeCells count="17">
    <mergeCell ref="A4:A5"/>
    <mergeCell ref="B4:B5"/>
    <mergeCell ref="C4:C5"/>
    <mergeCell ref="A25:B25"/>
    <mergeCell ref="A3:O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25" right="0.25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2EB4-44D9-4B7A-B35F-108F84E8846E}">
  <dimension ref="A1:O20"/>
  <sheetViews>
    <sheetView workbookViewId="0">
      <selection activeCell="I1" sqref="I1:L1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4" width="10.44140625" customWidth="1"/>
    <col min="5" max="5" width="9.109375" customWidth="1"/>
    <col min="6" max="6" width="9.88671875" customWidth="1"/>
    <col min="7" max="7" width="11.77734375" bestFit="1" customWidth="1"/>
    <col min="9" max="9" width="11.44140625" bestFit="1" customWidth="1"/>
    <col min="12" max="12" width="11" bestFit="1" customWidth="1"/>
    <col min="14" max="14" width="12.21875" bestFit="1" customWidth="1"/>
  </cols>
  <sheetData>
    <row r="1" spans="1:15" ht="15.6" x14ac:dyDescent="0.3">
      <c r="A1" s="39" t="s">
        <v>110</v>
      </c>
      <c r="B1" s="39"/>
      <c r="C1" s="39"/>
      <c r="D1" s="39"/>
      <c r="E1" s="39"/>
      <c r="F1" s="39"/>
      <c r="G1" s="39"/>
      <c r="H1" s="1"/>
      <c r="I1" s="39" t="s">
        <v>110</v>
      </c>
      <c r="J1" s="39"/>
      <c r="K1" s="39"/>
      <c r="L1" s="39"/>
      <c r="N1" s="39" t="s">
        <v>31</v>
      </c>
      <c r="O1" s="39"/>
    </row>
    <row r="2" spans="1:15" ht="15.6" x14ac:dyDescent="0.3">
      <c r="A2" s="36" t="s">
        <v>0</v>
      </c>
      <c r="B2" s="35" t="s">
        <v>33</v>
      </c>
      <c r="C2" s="35"/>
      <c r="D2" s="35"/>
      <c r="E2" s="32" t="s">
        <v>16</v>
      </c>
      <c r="F2" s="32" t="s">
        <v>32</v>
      </c>
      <c r="G2" s="36" t="s">
        <v>1</v>
      </c>
      <c r="H2" s="1"/>
      <c r="I2" s="2" t="s">
        <v>0</v>
      </c>
      <c r="J2" s="2" t="s">
        <v>2</v>
      </c>
      <c r="K2" s="2" t="s">
        <v>3</v>
      </c>
      <c r="L2" s="2" t="s">
        <v>1</v>
      </c>
      <c r="N2" s="2" t="s">
        <v>22</v>
      </c>
      <c r="O2" s="2" t="s">
        <v>23</v>
      </c>
    </row>
    <row r="3" spans="1:15" ht="15.6" x14ac:dyDescent="0.3">
      <c r="A3" s="37"/>
      <c r="B3" s="2" t="s">
        <v>34</v>
      </c>
      <c r="C3" s="2" t="s">
        <v>35</v>
      </c>
      <c r="D3" s="2" t="s">
        <v>36</v>
      </c>
      <c r="E3" s="33"/>
      <c r="F3" s="33"/>
      <c r="G3" s="37"/>
      <c r="H3" s="1"/>
      <c r="I3" s="6">
        <v>46082</v>
      </c>
      <c r="J3" s="7"/>
      <c r="K3" s="7"/>
      <c r="L3" s="7">
        <v>5000</v>
      </c>
      <c r="N3" s="14" t="s">
        <v>24</v>
      </c>
      <c r="O3" s="14">
        <v>11500</v>
      </c>
    </row>
    <row r="4" spans="1:15" ht="15.6" x14ac:dyDescent="0.3">
      <c r="A4" s="3" t="s">
        <v>37</v>
      </c>
      <c r="B4" s="4">
        <f>59-13-8-5</f>
        <v>33</v>
      </c>
      <c r="C4" s="4"/>
      <c r="D4" s="4">
        <v>4</v>
      </c>
      <c r="E4" s="4">
        <f>59.5-18-8</f>
        <v>33.5</v>
      </c>
      <c r="F4" s="4">
        <v>29</v>
      </c>
      <c r="G4" s="5">
        <f>+B4*7500+D4*6300+19800+F4*140</f>
        <v>296560</v>
      </c>
      <c r="H4" s="1"/>
      <c r="I4" s="6">
        <v>46094</v>
      </c>
      <c r="J4" s="7"/>
      <c r="K4" s="7"/>
      <c r="L4" s="7">
        <v>40000</v>
      </c>
      <c r="N4" s="14" t="s">
        <v>25</v>
      </c>
      <c r="O4" s="14">
        <v>7500</v>
      </c>
    </row>
    <row r="5" spans="1:15" ht="15.6" x14ac:dyDescent="0.3">
      <c r="A5" s="3">
        <v>46152</v>
      </c>
      <c r="B5" s="4">
        <v>5</v>
      </c>
      <c r="C5" s="4"/>
      <c r="D5" s="4">
        <v>8</v>
      </c>
      <c r="E5" s="4">
        <v>18</v>
      </c>
      <c r="F5" s="4"/>
      <c r="G5" s="5">
        <f>+(B5+C5+D5)*7500+E5*600+F5*140</f>
        <v>108300</v>
      </c>
      <c r="H5" s="1"/>
      <c r="I5" s="6">
        <v>46100</v>
      </c>
      <c r="J5" s="7"/>
      <c r="K5" s="7"/>
      <c r="L5" s="7">
        <v>32100</v>
      </c>
      <c r="N5" s="14" t="s">
        <v>26</v>
      </c>
      <c r="O5" s="14">
        <v>500</v>
      </c>
    </row>
    <row r="6" spans="1:15" ht="15.6" x14ac:dyDescent="0.3">
      <c r="A6" s="3">
        <v>46156</v>
      </c>
      <c r="B6" s="4"/>
      <c r="C6" s="4"/>
      <c r="D6" s="4">
        <v>8</v>
      </c>
      <c r="E6" s="4">
        <v>8</v>
      </c>
      <c r="F6" s="4"/>
      <c r="G6" s="5">
        <f t="shared" ref="G6:G7" si="0">+(B6+C6+D6)*7500+E6*600+F6*140</f>
        <v>64800</v>
      </c>
      <c r="H6" s="1"/>
      <c r="I6" s="6">
        <v>46116</v>
      </c>
      <c r="J6" s="7"/>
      <c r="K6" s="7"/>
      <c r="L6" s="7">
        <v>100000</v>
      </c>
      <c r="N6" s="14" t="s">
        <v>27</v>
      </c>
      <c r="O6" s="14">
        <v>4500</v>
      </c>
    </row>
    <row r="7" spans="1:15" ht="15.6" x14ac:dyDescent="0.3">
      <c r="A7" s="3">
        <v>46169</v>
      </c>
      <c r="B7" s="4">
        <v>2</v>
      </c>
      <c r="C7" s="4"/>
      <c r="D7" s="4">
        <v>3</v>
      </c>
      <c r="E7" s="4"/>
      <c r="F7" s="4"/>
      <c r="G7" s="5">
        <f t="shared" si="0"/>
        <v>37500</v>
      </c>
      <c r="H7" s="1"/>
      <c r="I7" s="6">
        <v>46136</v>
      </c>
      <c r="J7" s="7"/>
      <c r="K7" s="7"/>
      <c r="L7" s="7">
        <v>115600</v>
      </c>
      <c r="N7" s="14" t="s">
        <v>28</v>
      </c>
      <c r="O7" s="14">
        <v>3000</v>
      </c>
    </row>
    <row r="8" spans="1:15" ht="15.6" x14ac:dyDescent="0.3">
      <c r="A8" s="3">
        <v>46191</v>
      </c>
      <c r="B8" s="4">
        <v>2</v>
      </c>
      <c r="C8" s="4">
        <v>5</v>
      </c>
      <c r="D8" s="4">
        <v>9</v>
      </c>
      <c r="E8" s="4">
        <v>15</v>
      </c>
      <c r="F8" s="4"/>
      <c r="G8" s="5">
        <f>+(B8+C8+D8)*6000+E8*500+F8*140</f>
        <v>103500</v>
      </c>
      <c r="H8" s="1"/>
      <c r="I8" s="6" t="s">
        <v>38</v>
      </c>
      <c r="J8" s="7"/>
      <c r="K8" s="7"/>
      <c r="L8" s="7">
        <v>177160</v>
      </c>
      <c r="N8" s="14" t="s">
        <v>29</v>
      </c>
      <c r="O8" s="14">
        <v>1000</v>
      </c>
    </row>
    <row r="9" spans="1:15" ht="15.6" x14ac:dyDescent="0.3">
      <c r="A9" s="3">
        <v>46201</v>
      </c>
      <c r="B9" s="4">
        <v>2</v>
      </c>
      <c r="C9" s="4">
        <v>2</v>
      </c>
      <c r="D9" s="4">
        <v>4</v>
      </c>
      <c r="E9" s="4">
        <v>3</v>
      </c>
      <c r="F9" s="4"/>
      <c r="G9" s="5">
        <f t="shared" ref="G9:G11" si="1">+(B9+C9+D9)*6000+E9*500+F9*140</f>
        <v>49500</v>
      </c>
      <c r="H9" s="1"/>
      <c r="I9" s="6">
        <v>46169</v>
      </c>
      <c r="J9" s="7"/>
      <c r="K9" s="7"/>
      <c r="L9" s="7">
        <v>37500</v>
      </c>
      <c r="N9" s="14" t="s">
        <v>30</v>
      </c>
      <c r="O9" s="14">
        <v>6500</v>
      </c>
    </row>
    <row r="10" spans="1:15" ht="15.6" x14ac:dyDescent="0.3">
      <c r="A10" s="3">
        <v>46218</v>
      </c>
      <c r="B10" s="4">
        <v>8</v>
      </c>
      <c r="C10" s="4"/>
      <c r="D10" s="4">
        <v>2</v>
      </c>
      <c r="E10" s="4"/>
      <c r="F10" s="4"/>
      <c r="G10" s="5">
        <f t="shared" si="1"/>
        <v>60000</v>
      </c>
      <c r="H10" s="1"/>
      <c r="I10" s="6">
        <v>46203</v>
      </c>
      <c r="J10" s="7"/>
      <c r="K10" s="7"/>
      <c r="L10" s="7">
        <v>153000</v>
      </c>
      <c r="N10" s="13"/>
      <c r="O10" s="13"/>
    </row>
    <row r="11" spans="1:15" ht="15.6" x14ac:dyDescent="0.3">
      <c r="A11" s="3">
        <v>46233</v>
      </c>
      <c r="B11" s="4">
        <v>7</v>
      </c>
      <c r="C11" s="4"/>
      <c r="D11" s="4"/>
      <c r="E11" s="4"/>
      <c r="F11" s="4"/>
      <c r="G11" s="5">
        <f t="shared" si="1"/>
        <v>42000</v>
      </c>
      <c r="H11" s="1"/>
      <c r="I11" s="6">
        <v>46236</v>
      </c>
      <c r="J11" s="7"/>
      <c r="K11" s="7"/>
      <c r="L11" s="7">
        <v>51000</v>
      </c>
      <c r="N11" s="13"/>
      <c r="O11" s="13"/>
    </row>
    <row r="12" spans="1:15" ht="15.6" x14ac:dyDescent="0.3">
      <c r="A12" s="11" t="s">
        <v>7</v>
      </c>
      <c r="B12" s="22">
        <f t="shared" ref="B12:G12" si="2">+SUM(B4:B11)</f>
        <v>59</v>
      </c>
      <c r="C12" s="22">
        <f t="shared" si="2"/>
        <v>7</v>
      </c>
      <c r="D12" s="22">
        <f t="shared" si="2"/>
        <v>38</v>
      </c>
      <c r="E12" s="22">
        <f t="shared" si="2"/>
        <v>77.5</v>
      </c>
      <c r="F12" s="22">
        <f t="shared" si="2"/>
        <v>29</v>
      </c>
      <c r="G12" s="8">
        <f t="shared" si="2"/>
        <v>762160</v>
      </c>
      <c r="H12" s="1"/>
      <c r="I12" s="38" t="s">
        <v>7</v>
      </c>
      <c r="J12" s="38"/>
      <c r="K12" s="38"/>
      <c r="L12" s="8">
        <f>+SUM(L3:L11)</f>
        <v>711360</v>
      </c>
    </row>
    <row r="13" spans="1:15" ht="15.6" x14ac:dyDescent="0.3">
      <c r="A13" s="1"/>
      <c r="B13" s="1"/>
      <c r="C13" s="1"/>
      <c r="D13" s="1"/>
      <c r="E13" s="1"/>
      <c r="F13" s="1"/>
      <c r="G13" s="1"/>
      <c r="H13" s="1"/>
    </row>
    <row r="14" spans="1:15" ht="15.6" x14ac:dyDescent="0.3">
      <c r="A14" s="1"/>
      <c r="B14" s="1"/>
      <c r="C14" s="1"/>
      <c r="D14" s="1"/>
      <c r="E14" s="1"/>
      <c r="F14" s="1"/>
      <c r="G14" s="1"/>
      <c r="H14" s="1"/>
    </row>
    <row r="15" spans="1:15" ht="15.6" x14ac:dyDescent="0.3">
      <c r="A15" s="1"/>
      <c r="B15" s="1"/>
      <c r="C15" s="1"/>
      <c r="D15" s="1"/>
      <c r="E15" s="1"/>
      <c r="F15" s="1"/>
      <c r="G15" s="1"/>
      <c r="H15" s="1"/>
    </row>
    <row r="16" spans="1:15" ht="15.6" x14ac:dyDescent="0.3">
      <c r="A16" s="1"/>
      <c r="B16" s="9"/>
      <c r="C16" s="9"/>
      <c r="D16" s="9"/>
      <c r="E16" s="9"/>
      <c r="F16" s="9" t="s">
        <v>21</v>
      </c>
      <c r="G16" s="10">
        <f>+G12-L12</f>
        <v>50800</v>
      </c>
      <c r="H16" s="1"/>
    </row>
    <row r="17" spans="7:8" ht="15.6" x14ac:dyDescent="0.3">
      <c r="H17" s="1"/>
    </row>
    <row r="18" spans="7:8" ht="15.6" x14ac:dyDescent="0.3">
      <c r="G18" s="17"/>
      <c r="H18" s="1"/>
    </row>
    <row r="19" spans="7:8" ht="15.6" x14ac:dyDescent="0.3">
      <c r="H19" s="1"/>
    </row>
    <row r="20" spans="7:8" ht="15.6" x14ac:dyDescent="0.3">
      <c r="H20" s="1"/>
    </row>
  </sheetData>
  <mergeCells count="9">
    <mergeCell ref="G2:G3"/>
    <mergeCell ref="I12:K12"/>
    <mergeCell ref="N1:O1"/>
    <mergeCell ref="B2:D2"/>
    <mergeCell ref="E2:E3"/>
    <mergeCell ref="A1:G1"/>
    <mergeCell ref="I1:L1"/>
    <mergeCell ref="A2:A3"/>
    <mergeCell ref="F2:F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B9D2-6FB9-49FE-AE16-F0B8E85A30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6C31-90D7-4529-AA16-D74174A3F605}">
  <dimension ref="A1:L14"/>
  <sheetViews>
    <sheetView workbookViewId="0">
      <selection activeCell="I12" sqref="I12"/>
    </sheetView>
  </sheetViews>
  <sheetFormatPr defaultRowHeight="14.4" x14ac:dyDescent="0.3"/>
  <cols>
    <col min="1" max="1" width="11.44140625" bestFit="1" customWidth="1"/>
    <col min="2" max="2" width="5.21875" bestFit="1" customWidth="1"/>
    <col min="3" max="3" width="9" customWidth="1"/>
    <col min="4" max="4" width="11.77734375" bestFit="1" customWidth="1"/>
    <col min="6" max="6" width="11.44140625" bestFit="1" customWidth="1"/>
    <col min="9" max="9" width="11" bestFit="1" customWidth="1"/>
    <col min="11" max="11" width="12.21875" bestFit="1" customWidth="1"/>
  </cols>
  <sheetData>
    <row r="1" spans="1:12" ht="15.6" x14ac:dyDescent="0.3">
      <c r="A1" s="39" t="s">
        <v>70</v>
      </c>
      <c r="B1" s="39"/>
      <c r="C1" s="39"/>
      <c r="D1" s="39"/>
      <c r="E1" s="1"/>
      <c r="F1" s="39" t="s">
        <v>70</v>
      </c>
      <c r="G1" s="39"/>
      <c r="H1" s="39"/>
      <c r="I1" s="39"/>
      <c r="K1" s="39" t="s">
        <v>31</v>
      </c>
      <c r="L1" s="39"/>
    </row>
    <row r="2" spans="1:12" ht="15.6" x14ac:dyDescent="0.3">
      <c r="A2" s="12" t="s">
        <v>0</v>
      </c>
      <c r="B2" s="16" t="s">
        <v>14</v>
      </c>
      <c r="C2" s="16" t="s">
        <v>63</v>
      </c>
      <c r="D2" s="12" t="s">
        <v>1</v>
      </c>
      <c r="E2" s="1"/>
      <c r="F2" s="2" t="s">
        <v>0</v>
      </c>
      <c r="G2" s="2" t="s">
        <v>2</v>
      </c>
      <c r="H2" s="2" t="s">
        <v>3</v>
      </c>
      <c r="I2" s="2" t="s">
        <v>1</v>
      </c>
      <c r="K2" s="2" t="s">
        <v>22</v>
      </c>
      <c r="L2" s="2" t="s">
        <v>23</v>
      </c>
    </row>
    <row r="3" spans="1:12" ht="15.6" x14ac:dyDescent="0.3">
      <c r="A3" s="18">
        <v>46188</v>
      </c>
      <c r="B3" s="19">
        <v>3</v>
      </c>
      <c r="C3" s="19">
        <v>3</v>
      </c>
      <c r="D3" s="5">
        <f t="shared" ref="D3" si="0">+B3*12000+C3*7000</f>
        <v>57000</v>
      </c>
      <c r="E3" s="1"/>
      <c r="F3" s="6"/>
      <c r="G3" s="7" t="s">
        <v>4</v>
      </c>
      <c r="H3" s="7" t="s">
        <v>5</v>
      </c>
      <c r="I3" s="7">
        <v>5000</v>
      </c>
      <c r="K3" s="14" t="s">
        <v>24</v>
      </c>
      <c r="L3" s="14">
        <v>12000</v>
      </c>
    </row>
    <row r="4" spans="1:12" ht="15.6" x14ac:dyDescent="0.3">
      <c r="A4" s="18">
        <v>46203</v>
      </c>
      <c r="B4" s="19"/>
      <c r="C4" s="19">
        <v>1</v>
      </c>
      <c r="D4" s="5">
        <f>+B4*12000+C4*6500</f>
        <v>6500</v>
      </c>
      <c r="E4" s="1"/>
      <c r="F4" s="6" t="s">
        <v>45</v>
      </c>
      <c r="G4" s="7" t="s">
        <v>4</v>
      </c>
      <c r="H4" s="7" t="s">
        <v>5</v>
      </c>
      <c r="I4" s="7">
        <v>33000</v>
      </c>
      <c r="K4" s="14" t="s">
        <v>46</v>
      </c>
      <c r="L4" s="14">
        <v>7000</v>
      </c>
    </row>
    <row r="5" spans="1:12" ht="15.6" x14ac:dyDescent="0.3">
      <c r="A5" s="18">
        <v>46203</v>
      </c>
      <c r="B5" s="19">
        <v>1</v>
      </c>
      <c r="C5" s="19">
        <v>1</v>
      </c>
      <c r="D5" s="5">
        <f>+B5*12000+C5*7000</f>
        <v>19000</v>
      </c>
      <c r="E5" s="1"/>
      <c r="F5" s="6">
        <v>46199</v>
      </c>
      <c r="G5" s="7" t="s">
        <v>4</v>
      </c>
      <c r="H5" s="7" t="s">
        <v>13</v>
      </c>
      <c r="I5" s="7">
        <v>19000</v>
      </c>
    </row>
    <row r="6" spans="1:12" ht="15.6" x14ac:dyDescent="0.3">
      <c r="A6" s="18">
        <v>46218</v>
      </c>
      <c r="B6" s="19">
        <v>3</v>
      </c>
      <c r="C6" s="19">
        <v>3</v>
      </c>
      <c r="D6" s="5">
        <f t="shared" ref="D6:D7" si="1">+B6*12000+C6*7000</f>
        <v>57000</v>
      </c>
      <c r="E6" s="1"/>
      <c r="F6" s="6" t="s">
        <v>40</v>
      </c>
      <c r="G6" s="7" t="s">
        <v>4</v>
      </c>
      <c r="H6" s="7" t="s">
        <v>5</v>
      </c>
      <c r="I6" s="7">
        <v>19000</v>
      </c>
    </row>
    <row r="7" spans="1:12" ht="15.6" x14ac:dyDescent="0.3">
      <c r="A7" s="3">
        <v>46234</v>
      </c>
      <c r="B7" s="7">
        <v>3</v>
      </c>
      <c r="C7" s="7">
        <v>1</v>
      </c>
      <c r="D7" s="5">
        <f t="shared" si="1"/>
        <v>43000</v>
      </c>
      <c r="E7" s="1"/>
      <c r="F7" s="6" t="s">
        <v>40</v>
      </c>
      <c r="G7" s="7" t="s">
        <v>4</v>
      </c>
      <c r="H7" s="7" t="s">
        <v>5</v>
      </c>
      <c r="I7" s="7">
        <v>19000</v>
      </c>
    </row>
    <row r="8" spans="1:12" ht="15.6" x14ac:dyDescent="0.3">
      <c r="A8" s="2" t="s">
        <v>7</v>
      </c>
      <c r="B8" s="22">
        <f t="shared" ref="B8:C8" si="2">+SUM(B3:B7)</f>
        <v>10</v>
      </c>
      <c r="C8" s="22">
        <f t="shared" si="2"/>
        <v>9</v>
      </c>
      <c r="D8" s="8">
        <f>+SUM(D3:D7)</f>
        <v>182500</v>
      </c>
      <c r="E8" s="1"/>
      <c r="F8" s="6" t="s">
        <v>71</v>
      </c>
      <c r="G8" s="7" t="s">
        <v>6</v>
      </c>
      <c r="H8" s="7" t="s">
        <v>13</v>
      </c>
      <c r="I8" s="7">
        <v>1000</v>
      </c>
    </row>
    <row r="9" spans="1:12" ht="15.6" x14ac:dyDescent="0.3">
      <c r="A9" s="1"/>
      <c r="B9" s="1"/>
      <c r="C9" s="1"/>
      <c r="D9" s="1"/>
      <c r="E9" s="1"/>
      <c r="F9" s="6" t="s">
        <v>51</v>
      </c>
      <c r="G9" s="7" t="s">
        <v>6</v>
      </c>
      <c r="H9" s="7" t="s">
        <v>13</v>
      </c>
      <c r="I9" s="7">
        <v>43500</v>
      </c>
    </row>
    <row r="10" spans="1:12" ht="15.6" x14ac:dyDescent="0.3">
      <c r="A10" s="1"/>
      <c r="B10" s="1"/>
      <c r="C10" s="1"/>
      <c r="D10" s="1"/>
      <c r="F10" s="6" t="s">
        <v>41</v>
      </c>
      <c r="G10" s="7"/>
      <c r="H10" s="7" t="s">
        <v>42</v>
      </c>
      <c r="I10" s="7">
        <v>2050</v>
      </c>
    </row>
    <row r="11" spans="1:12" ht="15.6" x14ac:dyDescent="0.3">
      <c r="A11" s="1"/>
      <c r="B11" s="1"/>
      <c r="C11" s="1"/>
      <c r="D11" s="1"/>
      <c r="F11" s="6"/>
      <c r="G11" s="7"/>
      <c r="H11" s="7" t="s">
        <v>42</v>
      </c>
      <c r="I11" s="7">
        <v>4500</v>
      </c>
    </row>
    <row r="12" spans="1:12" ht="15.6" x14ac:dyDescent="0.3">
      <c r="A12" s="1"/>
      <c r="B12" s="9"/>
      <c r="C12" s="9" t="s">
        <v>21</v>
      </c>
      <c r="D12" s="10">
        <f>+D8-I13</f>
        <v>36450</v>
      </c>
      <c r="F12" s="6"/>
      <c r="G12" s="7"/>
      <c r="H12" s="7"/>
      <c r="I12" s="7"/>
    </row>
    <row r="13" spans="1:12" ht="15.6" x14ac:dyDescent="0.3">
      <c r="F13" s="38" t="s">
        <v>7</v>
      </c>
      <c r="G13" s="38"/>
      <c r="H13" s="38"/>
      <c r="I13" s="8">
        <f>+SUM(I3:I12)</f>
        <v>146050</v>
      </c>
    </row>
    <row r="14" spans="1:12" x14ac:dyDescent="0.3">
      <c r="D14" s="17"/>
    </row>
  </sheetData>
  <mergeCells count="4">
    <mergeCell ref="A1:D1"/>
    <mergeCell ref="F1:I1"/>
    <mergeCell ref="K1:L1"/>
    <mergeCell ref="F13:H1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workbookViewId="0">
      <selection activeCell="K15" sqref="K15:M15"/>
    </sheetView>
  </sheetViews>
  <sheetFormatPr defaultRowHeight="13.8" x14ac:dyDescent="0.25"/>
  <cols>
    <col min="1" max="1" width="11.44140625" style="13" bestFit="1" customWidth="1"/>
    <col min="2" max="2" width="8.88671875" style="13"/>
    <col min="3" max="3" width="10.44140625" style="13" bestFit="1" customWidth="1"/>
    <col min="4" max="8" width="8.88671875" style="13"/>
    <col min="9" max="9" width="10.88671875" style="13" bestFit="1" customWidth="1"/>
    <col min="10" max="10" width="8.88671875" style="13"/>
    <col min="11" max="11" width="14.109375" style="13" bestFit="1" customWidth="1"/>
    <col min="12" max="13" width="8.88671875" style="13"/>
    <col min="14" max="14" width="11" style="13" bestFit="1" customWidth="1"/>
    <col min="15" max="15" width="8.88671875" style="13"/>
    <col min="16" max="16" width="12.33203125" style="13" bestFit="1" customWidth="1"/>
    <col min="17" max="16384" width="8.88671875" style="13"/>
  </cols>
  <sheetData>
    <row r="1" spans="1:26" ht="15.6" x14ac:dyDescent="0.3">
      <c r="A1" s="39" t="s">
        <v>12</v>
      </c>
      <c r="B1" s="39"/>
      <c r="C1" s="39"/>
      <c r="D1" s="39"/>
      <c r="E1" s="39"/>
      <c r="F1" s="39"/>
      <c r="G1" s="39"/>
      <c r="H1" s="39"/>
      <c r="I1" s="39"/>
      <c r="J1" s="1"/>
      <c r="K1" s="39" t="s">
        <v>12</v>
      </c>
      <c r="L1" s="39"/>
      <c r="M1" s="39"/>
      <c r="N1" s="39"/>
      <c r="P1" s="39" t="s">
        <v>31</v>
      </c>
      <c r="Q1" s="39"/>
    </row>
    <row r="2" spans="1:26" ht="15.6" x14ac:dyDescent="0.3">
      <c r="A2" s="36" t="s">
        <v>0</v>
      </c>
      <c r="B2" s="36" t="s">
        <v>14</v>
      </c>
      <c r="C2" s="36" t="s">
        <v>15</v>
      </c>
      <c r="D2" s="36" t="s">
        <v>16</v>
      </c>
      <c r="E2" s="36" t="s">
        <v>17</v>
      </c>
      <c r="F2" s="36" t="s">
        <v>18</v>
      </c>
      <c r="G2" s="36" t="s">
        <v>19</v>
      </c>
      <c r="H2" s="36" t="s">
        <v>20</v>
      </c>
      <c r="I2" s="36" t="s">
        <v>1</v>
      </c>
      <c r="J2" s="1"/>
      <c r="K2" s="2" t="s">
        <v>0</v>
      </c>
      <c r="L2" s="2" t="s">
        <v>2</v>
      </c>
      <c r="M2" s="2" t="s">
        <v>3</v>
      </c>
      <c r="N2" s="2" t="s">
        <v>1</v>
      </c>
      <c r="P2" s="2" t="s">
        <v>22</v>
      </c>
      <c r="Q2" s="2" t="s">
        <v>23</v>
      </c>
      <c r="Z2" s="13">
        <v>5</v>
      </c>
    </row>
    <row r="3" spans="1:26" ht="15.6" x14ac:dyDescent="0.3">
      <c r="A3" s="37"/>
      <c r="B3" s="37"/>
      <c r="C3" s="37"/>
      <c r="D3" s="37"/>
      <c r="E3" s="37"/>
      <c r="F3" s="37"/>
      <c r="G3" s="37"/>
      <c r="H3" s="37"/>
      <c r="I3" s="37"/>
      <c r="J3" s="1"/>
      <c r="K3" s="6">
        <v>46092</v>
      </c>
      <c r="L3" s="7" t="s">
        <v>4</v>
      </c>
      <c r="M3" s="7" t="s">
        <v>5</v>
      </c>
      <c r="N3" s="5">
        <v>20000</v>
      </c>
      <c r="P3" s="14" t="s">
        <v>24</v>
      </c>
      <c r="Q3" s="14">
        <v>11500</v>
      </c>
    </row>
    <row r="4" spans="1:26" ht="15.6" x14ac:dyDescent="0.3">
      <c r="A4" s="3">
        <v>46089</v>
      </c>
      <c r="B4" s="4">
        <v>2</v>
      </c>
      <c r="C4" s="4">
        <v>2</v>
      </c>
      <c r="D4" s="4">
        <v>2</v>
      </c>
      <c r="E4" s="4">
        <v>2</v>
      </c>
      <c r="F4" s="4">
        <v>2</v>
      </c>
      <c r="G4" s="4">
        <v>2</v>
      </c>
      <c r="H4" s="4">
        <v>2</v>
      </c>
      <c r="I4" s="5">
        <f>+B4*11500+C4*7500+D4*500+E4*4500+F4*3000+G4*1000+H4*6500</f>
        <v>69000</v>
      </c>
      <c r="J4" s="1"/>
      <c r="K4" s="6">
        <v>46100</v>
      </c>
      <c r="L4" s="7" t="s">
        <v>4</v>
      </c>
      <c r="M4" s="7" t="s">
        <v>5</v>
      </c>
      <c r="N4" s="5">
        <v>46000</v>
      </c>
      <c r="P4" s="14" t="s">
        <v>25</v>
      </c>
      <c r="Q4" s="14">
        <v>7500</v>
      </c>
      <c r="Z4" s="13">
        <v>2</v>
      </c>
    </row>
    <row r="5" spans="1:26" ht="15.6" x14ac:dyDescent="0.3">
      <c r="A5" s="3">
        <v>46108</v>
      </c>
      <c r="B5" s="4">
        <v>5</v>
      </c>
      <c r="C5" s="4">
        <v>5</v>
      </c>
      <c r="D5" s="4">
        <v>5</v>
      </c>
      <c r="E5" s="4">
        <v>5</v>
      </c>
      <c r="F5" s="4">
        <v>5</v>
      </c>
      <c r="G5" s="4">
        <v>0</v>
      </c>
      <c r="H5" s="4">
        <v>5</v>
      </c>
      <c r="I5" s="5">
        <f t="shared" ref="I5:I10" si="0">+B5*11500+C5*7500+D5*500+E5*4500+F5*3000+G5*1000+H5*6500</f>
        <v>167500</v>
      </c>
      <c r="J5" s="1"/>
      <c r="K5" s="6">
        <v>46108</v>
      </c>
      <c r="L5" s="7" t="s">
        <v>4</v>
      </c>
      <c r="M5" s="7" t="s">
        <v>5</v>
      </c>
      <c r="N5" s="5">
        <v>225000</v>
      </c>
      <c r="P5" s="14" t="s">
        <v>26</v>
      </c>
      <c r="Q5" s="14">
        <v>500</v>
      </c>
      <c r="Z5" s="13">
        <v>64</v>
      </c>
    </row>
    <row r="6" spans="1:26" ht="15.6" x14ac:dyDescent="0.3">
      <c r="A6" s="3">
        <v>46140</v>
      </c>
      <c r="B6" s="4">
        <v>10</v>
      </c>
      <c r="C6" s="4">
        <v>10</v>
      </c>
      <c r="D6" s="4">
        <v>10</v>
      </c>
      <c r="E6" s="4">
        <v>10</v>
      </c>
      <c r="F6" s="4">
        <v>5</v>
      </c>
      <c r="G6" s="4">
        <v>0</v>
      </c>
      <c r="H6" s="4">
        <v>8</v>
      </c>
      <c r="I6" s="5">
        <f t="shared" si="0"/>
        <v>307000</v>
      </c>
      <c r="J6" s="1"/>
      <c r="K6" s="6">
        <v>46124</v>
      </c>
      <c r="L6" s="7" t="s">
        <v>4</v>
      </c>
      <c r="M6" s="7" t="s">
        <v>5</v>
      </c>
      <c r="N6" s="5">
        <v>113000</v>
      </c>
      <c r="P6" s="14" t="s">
        <v>27</v>
      </c>
      <c r="Q6" s="14">
        <v>4500</v>
      </c>
      <c r="Z6" s="13">
        <v>84</v>
      </c>
    </row>
    <row r="7" spans="1:26" ht="15.6" x14ac:dyDescent="0.3">
      <c r="A7" s="3">
        <v>46198</v>
      </c>
      <c r="B7" s="4">
        <v>5</v>
      </c>
      <c r="C7" s="4">
        <v>5</v>
      </c>
      <c r="D7" s="4">
        <v>5</v>
      </c>
      <c r="E7" s="4">
        <v>0</v>
      </c>
      <c r="F7" s="4">
        <v>0</v>
      </c>
      <c r="G7" s="4">
        <v>0</v>
      </c>
      <c r="H7" s="4">
        <v>0</v>
      </c>
      <c r="I7" s="5">
        <f t="shared" si="0"/>
        <v>97500</v>
      </c>
      <c r="J7" s="1"/>
      <c r="K7" s="6">
        <v>46140</v>
      </c>
      <c r="L7" s="7" t="s">
        <v>6</v>
      </c>
      <c r="M7" s="7" t="s">
        <v>5</v>
      </c>
      <c r="N7" s="5">
        <v>139500</v>
      </c>
      <c r="P7" s="14" t="s">
        <v>28</v>
      </c>
      <c r="Q7" s="14">
        <v>3000</v>
      </c>
      <c r="Z7" s="13">
        <v>35</v>
      </c>
    </row>
    <row r="8" spans="1:26" ht="15.6" x14ac:dyDescent="0.3">
      <c r="A8" s="3">
        <v>46198</v>
      </c>
      <c r="B8" s="4">
        <v>12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>
        <f>+B8*19500</f>
        <v>234000</v>
      </c>
      <c r="J8" s="1"/>
      <c r="K8" s="6"/>
      <c r="L8" s="7" t="s">
        <v>4</v>
      </c>
      <c r="M8" s="7" t="s">
        <v>5</v>
      </c>
      <c r="N8" s="5">
        <v>97500</v>
      </c>
      <c r="P8" s="14" t="s">
        <v>29</v>
      </c>
      <c r="Q8" s="14">
        <v>1000</v>
      </c>
    </row>
    <row r="9" spans="1:26" ht="15.6" x14ac:dyDescent="0.3">
      <c r="A9" s="3">
        <v>46219</v>
      </c>
      <c r="B9" s="4">
        <v>13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>
        <f t="shared" si="0"/>
        <v>247000</v>
      </c>
      <c r="J9" s="1"/>
      <c r="K9" s="6"/>
      <c r="L9" s="7" t="s">
        <v>6</v>
      </c>
      <c r="M9" s="7" t="s">
        <v>13</v>
      </c>
      <c r="N9" s="5">
        <v>78000</v>
      </c>
      <c r="P9" s="14" t="s">
        <v>30</v>
      </c>
      <c r="Q9" s="14">
        <v>6500</v>
      </c>
    </row>
    <row r="10" spans="1:26" ht="15.6" x14ac:dyDescent="0.3">
      <c r="A10" s="3">
        <v>46234</v>
      </c>
      <c r="B10" s="4">
        <v>11</v>
      </c>
      <c r="C10" s="4">
        <v>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>
        <f t="shared" si="0"/>
        <v>209000</v>
      </c>
      <c r="J10" s="1"/>
      <c r="K10" s="6">
        <v>46199</v>
      </c>
      <c r="L10" s="7" t="s">
        <v>6</v>
      </c>
      <c r="M10" s="7" t="s">
        <v>13</v>
      </c>
      <c r="N10" s="5">
        <v>40000</v>
      </c>
    </row>
    <row r="11" spans="1:26" ht="15.6" x14ac:dyDescent="0.3">
      <c r="A11" s="11" t="s">
        <v>7</v>
      </c>
      <c r="B11" s="22">
        <f t="shared" ref="B11:I11" si="1">+SUM(B4:B10)</f>
        <v>58</v>
      </c>
      <c r="C11" s="22">
        <f t="shared" si="1"/>
        <v>46</v>
      </c>
      <c r="D11" s="22">
        <f t="shared" si="1"/>
        <v>22</v>
      </c>
      <c r="E11" s="22">
        <f t="shared" si="1"/>
        <v>17</v>
      </c>
      <c r="F11" s="22">
        <f t="shared" si="1"/>
        <v>12</v>
      </c>
      <c r="G11" s="22">
        <f t="shared" si="1"/>
        <v>2</v>
      </c>
      <c r="H11" s="22">
        <f t="shared" si="1"/>
        <v>15</v>
      </c>
      <c r="I11" s="8">
        <f t="shared" si="1"/>
        <v>1331000</v>
      </c>
      <c r="J11" s="1"/>
      <c r="K11" s="6">
        <v>46204</v>
      </c>
      <c r="L11" s="7"/>
      <c r="M11" s="7"/>
      <c r="N11" s="5">
        <v>116000</v>
      </c>
    </row>
    <row r="12" spans="1:26" ht="15.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6">
        <v>46219</v>
      </c>
      <c r="L12" s="7" t="s">
        <v>6</v>
      </c>
      <c r="M12" s="7" t="s">
        <v>5</v>
      </c>
      <c r="N12" s="5">
        <v>47000</v>
      </c>
    </row>
    <row r="13" spans="1:26" ht="15.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6">
        <v>46221</v>
      </c>
      <c r="L13" s="7" t="s">
        <v>6</v>
      </c>
      <c r="M13" s="7" t="s">
        <v>5</v>
      </c>
      <c r="N13" s="5">
        <v>150000</v>
      </c>
    </row>
    <row r="14" spans="1:26" ht="15.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6">
        <v>46236</v>
      </c>
      <c r="L14" s="7" t="s">
        <v>4</v>
      </c>
      <c r="M14" s="7" t="s">
        <v>5</v>
      </c>
      <c r="N14" s="5">
        <v>129500</v>
      </c>
    </row>
    <row r="15" spans="1:26" ht="15.6" x14ac:dyDescent="0.3">
      <c r="A15" s="1"/>
      <c r="B15" s="9"/>
      <c r="C15" s="9"/>
      <c r="D15" s="9"/>
      <c r="E15" s="9"/>
      <c r="F15" s="9"/>
      <c r="G15" s="9"/>
      <c r="H15" s="9" t="s">
        <v>21</v>
      </c>
      <c r="I15" s="10">
        <f>+I11-N15</f>
        <v>129500</v>
      </c>
      <c r="J15" s="1"/>
      <c r="K15" s="38" t="s">
        <v>7</v>
      </c>
      <c r="L15" s="38"/>
      <c r="M15" s="38"/>
      <c r="N15" s="8">
        <f>+SUM(N3:N14)</f>
        <v>1201500</v>
      </c>
      <c r="S15" s="15"/>
    </row>
    <row r="16" spans="1:26" ht="15.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S16" s="15"/>
    </row>
    <row r="17" spans="1:10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6" x14ac:dyDescent="0.3">
      <c r="J18" s="1"/>
    </row>
    <row r="19" spans="1:10" ht="15.6" x14ac:dyDescent="0.3">
      <c r="J19" s="1"/>
    </row>
    <row r="20" spans="1:10" ht="15.6" x14ac:dyDescent="0.3">
      <c r="J20" s="1"/>
    </row>
    <row r="21" spans="1:10" ht="15.6" x14ac:dyDescent="0.3">
      <c r="J21" s="1"/>
    </row>
    <row r="22" spans="1:10" ht="15.6" x14ac:dyDescent="0.3">
      <c r="J22" s="1"/>
    </row>
    <row r="23" spans="1:10" ht="15.6" x14ac:dyDescent="0.3">
      <c r="J23" s="1"/>
    </row>
    <row r="47" spans="1:1" x14ac:dyDescent="0.25">
      <c r="A47" s="13" t="s">
        <v>8</v>
      </c>
    </row>
    <row r="48" spans="1:1" x14ac:dyDescent="0.25">
      <c r="A48" s="13" t="s">
        <v>9</v>
      </c>
    </row>
    <row r="49" spans="1:1" x14ac:dyDescent="0.25">
      <c r="A49" s="13" t="s">
        <v>10</v>
      </c>
    </row>
    <row r="51" spans="1:1" x14ac:dyDescent="0.25">
      <c r="A51" s="13" t="s">
        <v>10</v>
      </c>
    </row>
    <row r="60" spans="1:1" x14ac:dyDescent="0.25">
      <c r="A60" s="13" t="s">
        <v>11</v>
      </c>
    </row>
  </sheetData>
  <mergeCells count="13">
    <mergeCell ref="P1:Q1"/>
    <mergeCell ref="A1:I1"/>
    <mergeCell ref="K1:N1"/>
    <mergeCell ref="K15:M15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E460-EB3A-4C8E-9683-70B27F3B83ED}">
  <dimension ref="A1:L22"/>
  <sheetViews>
    <sheetView workbookViewId="0">
      <selection activeCell="F1" sqref="F1:I1"/>
    </sheetView>
  </sheetViews>
  <sheetFormatPr defaultRowHeight="14.4" x14ac:dyDescent="0.3"/>
  <cols>
    <col min="1" max="1" width="11.44140625" bestFit="1" customWidth="1"/>
    <col min="2" max="2" width="9.109375" customWidth="1"/>
    <col min="3" max="3" width="12.88671875" customWidth="1"/>
    <col min="4" max="4" width="11.77734375" bestFit="1" customWidth="1"/>
    <col min="6" max="6" width="11.44140625" bestFit="1" customWidth="1"/>
    <col min="9" max="9" width="11" bestFit="1" customWidth="1"/>
    <col min="11" max="11" width="12.21875" bestFit="1" customWidth="1"/>
  </cols>
  <sheetData>
    <row r="1" spans="1:12" ht="15.6" x14ac:dyDescent="0.3">
      <c r="A1" s="39" t="s">
        <v>109</v>
      </c>
      <c r="B1" s="39"/>
      <c r="C1" s="39"/>
      <c r="D1" s="39"/>
      <c r="E1" s="1"/>
      <c r="F1" s="39" t="s">
        <v>109</v>
      </c>
      <c r="G1" s="39"/>
      <c r="H1" s="39"/>
      <c r="I1" s="39"/>
      <c r="K1" s="39" t="s">
        <v>31</v>
      </c>
      <c r="L1" s="39"/>
    </row>
    <row r="2" spans="1:12" ht="15.6" x14ac:dyDescent="0.3">
      <c r="A2" s="12" t="s">
        <v>0</v>
      </c>
      <c r="B2" s="16" t="s">
        <v>16</v>
      </c>
      <c r="C2" s="16" t="s">
        <v>39</v>
      </c>
      <c r="D2" s="12" t="s">
        <v>1</v>
      </c>
      <c r="E2" s="1"/>
      <c r="F2" s="2" t="s">
        <v>0</v>
      </c>
      <c r="G2" s="2" t="s">
        <v>2</v>
      </c>
      <c r="H2" s="2" t="s">
        <v>3</v>
      </c>
      <c r="I2" s="2" t="s">
        <v>1</v>
      </c>
      <c r="K2" s="2" t="s">
        <v>22</v>
      </c>
      <c r="L2" s="2" t="s">
        <v>23</v>
      </c>
    </row>
    <row r="3" spans="1:12" ht="15.6" x14ac:dyDescent="0.3">
      <c r="A3" s="18">
        <v>46093</v>
      </c>
      <c r="B3" s="19">
        <v>15</v>
      </c>
      <c r="C3" s="19">
        <v>15</v>
      </c>
      <c r="D3" s="5">
        <f>+B3*500+C3*4500</f>
        <v>75000</v>
      </c>
      <c r="E3" s="1"/>
      <c r="F3" s="6">
        <v>46065</v>
      </c>
      <c r="G3" s="7" t="s">
        <v>4</v>
      </c>
      <c r="H3" s="7" t="s">
        <v>13</v>
      </c>
      <c r="I3" s="7">
        <v>5000</v>
      </c>
      <c r="K3" s="14" t="s">
        <v>26</v>
      </c>
      <c r="L3" s="14">
        <v>500</v>
      </c>
    </row>
    <row r="4" spans="1:12" ht="15.6" x14ac:dyDescent="0.3">
      <c r="A4" s="18">
        <v>46093</v>
      </c>
      <c r="B4" s="19">
        <v>3</v>
      </c>
      <c r="C4" s="19"/>
      <c r="D4" s="5">
        <f>+B4*250+C4*4500</f>
        <v>750</v>
      </c>
      <c r="E4" s="1"/>
      <c r="F4" s="6">
        <v>46065</v>
      </c>
      <c r="G4" s="7" t="s">
        <v>4</v>
      </c>
      <c r="H4" s="7" t="s">
        <v>5</v>
      </c>
      <c r="I4" s="7">
        <v>15000</v>
      </c>
      <c r="K4" s="14" t="s">
        <v>27</v>
      </c>
      <c r="L4" s="14">
        <v>4500</v>
      </c>
    </row>
    <row r="5" spans="1:12" ht="15.6" x14ac:dyDescent="0.3">
      <c r="A5" s="3">
        <v>46164</v>
      </c>
      <c r="B5" s="4">
        <v>5</v>
      </c>
      <c r="C5" s="4">
        <v>5</v>
      </c>
      <c r="D5" s="5">
        <f>+B5*500+C5*4500</f>
        <v>25000</v>
      </c>
      <c r="E5" s="1"/>
      <c r="F5" s="6">
        <v>46075</v>
      </c>
      <c r="G5" s="7" t="s">
        <v>4</v>
      </c>
      <c r="H5" s="7" t="s">
        <v>5</v>
      </c>
      <c r="I5" s="7">
        <v>10000</v>
      </c>
      <c r="K5" s="13"/>
      <c r="L5" s="13"/>
    </row>
    <row r="6" spans="1:12" ht="15.6" x14ac:dyDescent="0.3">
      <c r="A6" s="3">
        <v>46164</v>
      </c>
      <c r="B6" s="4">
        <v>5</v>
      </c>
      <c r="C6" s="4"/>
      <c r="D6" s="5">
        <f t="shared" ref="D6:D15" si="0">+B6*500+C6*4500</f>
        <v>2500</v>
      </c>
      <c r="E6" s="1"/>
      <c r="F6" s="6">
        <v>46093</v>
      </c>
      <c r="G6" s="7" t="s">
        <v>4</v>
      </c>
      <c r="H6" s="7" t="s">
        <v>5</v>
      </c>
      <c r="I6" s="7">
        <v>5000</v>
      </c>
      <c r="K6" s="13"/>
      <c r="L6" s="13"/>
    </row>
    <row r="7" spans="1:12" ht="15.6" x14ac:dyDescent="0.3">
      <c r="A7" s="3">
        <v>46177</v>
      </c>
      <c r="B7" s="4">
        <v>9</v>
      </c>
      <c r="C7" s="4">
        <v>9</v>
      </c>
      <c r="D7" s="5">
        <f t="shared" si="0"/>
        <v>45000</v>
      </c>
      <c r="E7" s="1"/>
      <c r="F7" s="6">
        <v>46095</v>
      </c>
      <c r="G7" s="7" t="s">
        <v>4</v>
      </c>
      <c r="H7" s="7" t="s">
        <v>5</v>
      </c>
      <c r="I7" s="7">
        <v>15000</v>
      </c>
    </row>
    <row r="8" spans="1:12" ht="15.6" x14ac:dyDescent="0.3">
      <c r="A8" s="3">
        <v>46184</v>
      </c>
      <c r="B8" s="4"/>
      <c r="C8" s="4">
        <v>2</v>
      </c>
      <c r="D8" s="5">
        <f t="shared" si="0"/>
        <v>9000</v>
      </c>
      <c r="E8" s="1"/>
      <c r="F8" s="6">
        <v>46100</v>
      </c>
      <c r="G8" s="7" t="s">
        <v>4</v>
      </c>
      <c r="H8" s="7" t="s">
        <v>5</v>
      </c>
      <c r="I8" s="7">
        <v>25000</v>
      </c>
    </row>
    <row r="9" spans="1:12" ht="15.6" x14ac:dyDescent="0.3">
      <c r="A9" s="3">
        <v>46184</v>
      </c>
      <c r="B9" s="4">
        <v>4</v>
      </c>
      <c r="C9" s="4">
        <v>4</v>
      </c>
      <c r="D9" s="5">
        <f t="shared" si="0"/>
        <v>20000</v>
      </c>
      <c r="E9" s="1"/>
      <c r="F9" s="6">
        <v>46108</v>
      </c>
      <c r="G9" s="7" t="s">
        <v>4</v>
      </c>
      <c r="H9" s="7" t="s">
        <v>5</v>
      </c>
      <c r="I9" s="7">
        <v>10000</v>
      </c>
    </row>
    <row r="10" spans="1:12" ht="15.6" x14ac:dyDescent="0.3">
      <c r="A10" s="3">
        <v>46191</v>
      </c>
      <c r="B10" s="4">
        <v>9</v>
      </c>
      <c r="C10" s="4">
        <v>9</v>
      </c>
      <c r="D10" s="5">
        <f t="shared" si="0"/>
        <v>45000</v>
      </c>
      <c r="E10" s="1"/>
      <c r="F10" s="6">
        <v>46137</v>
      </c>
      <c r="G10" s="7" t="s">
        <v>4</v>
      </c>
      <c r="H10" s="7" t="s">
        <v>5</v>
      </c>
      <c r="I10" s="5">
        <v>40000</v>
      </c>
    </row>
    <row r="11" spans="1:12" ht="15.6" x14ac:dyDescent="0.3">
      <c r="A11" s="3">
        <v>46199</v>
      </c>
      <c r="B11" s="4"/>
      <c r="C11" s="4">
        <v>3</v>
      </c>
      <c r="D11" s="5">
        <f t="shared" si="0"/>
        <v>13500</v>
      </c>
      <c r="E11" s="1"/>
      <c r="F11" s="6">
        <v>46146</v>
      </c>
      <c r="G11" s="7" t="s">
        <v>4</v>
      </c>
      <c r="H11" s="7" t="s">
        <v>5</v>
      </c>
      <c r="I11" s="5">
        <v>4200</v>
      </c>
    </row>
    <row r="12" spans="1:12" ht="15.6" x14ac:dyDescent="0.3">
      <c r="A12" s="3">
        <v>46206</v>
      </c>
      <c r="B12" s="4">
        <v>4</v>
      </c>
      <c r="C12" s="4">
        <v>4</v>
      </c>
      <c r="D12" s="5">
        <f t="shared" si="0"/>
        <v>20000</v>
      </c>
      <c r="E12" s="1"/>
      <c r="F12" s="6">
        <v>46146</v>
      </c>
      <c r="G12" s="7" t="s">
        <v>4</v>
      </c>
      <c r="H12" s="7" t="s">
        <v>5</v>
      </c>
      <c r="I12" s="5">
        <v>35000</v>
      </c>
    </row>
    <row r="13" spans="1:12" ht="15.6" x14ac:dyDescent="0.3">
      <c r="A13" s="3">
        <v>46208</v>
      </c>
      <c r="B13" s="4">
        <v>1</v>
      </c>
      <c r="C13" s="4">
        <v>1</v>
      </c>
      <c r="D13" s="5">
        <f t="shared" si="0"/>
        <v>5000</v>
      </c>
      <c r="E13" s="1"/>
      <c r="F13" s="6">
        <v>46166</v>
      </c>
      <c r="G13" s="7" t="s">
        <v>4</v>
      </c>
      <c r="H13" s="7" t="s">
        <v>5</v>
      </c>
      <c r="I13" s="5">
        <v>27500</v>
      </c>
    </row>
    <row r="14" spans="1:12" ht="15.6" x14ac:dyDescent="0.3">
      <c r="A14" s="3">
        <v>46213</v>
      </c>
      <c r="B14" s="4">
        <v>1</v>
      </c>
      <c r="C14" s="4">
        <v>1</v>
      </c>
      <c r="D14" s="5">
        <f t="shared" si="0"/>
        <v>5000</v>
      </c>
      <c r="E14" s="1"/>
      <c r="F14" s="6">
        <v>46184</v>
      </c>
      <c r="G14" s="7" t="s">
        <v>42</v>
      </c>
      <c r="H14" s="7" t="s">
        <v>5</v>
      </c>
      <c r="I14" s="5">
        <v>4000</v>
      </c>
    </row>
    <row r="15" spans="1:12" ht="15.6" x14ac:dyDescent="0.3">
      <c r="A15" s="3">
        <v>46232</v>
      </c>
      <c r="B15" s="4">
        <v>13</v>
      </c>
      <c r="C15" s="4">
        <v>13</v>
      </c>
      <c r="D15" s="5">
        <f t="shared" si="0"/>
        <v>65000</v>
      </c>
      <c r="E15" s="1"/>
      <c r="F15" s="6">
        <v>46184</v>
      </c>
      <c r="G15" s="7" t="s">
        <v>4</v>
      </c>
      <c r="H15" s="7" t="s">
        <v>5</v>
      </c>
      <c r="I15" s="5">
        <v>40000</v>
      </c>
    </row>
    <row r="16" spans="1:12" ht="15.6" x14ac:dyDescent="0.3">
      <c r="A16" s="11" t="s">
        <v>7</v>
      </c>
      <c r="B16" s="22">
        <f>+SUM(B3:B15)</f>
        <v>69</v>
      </c>
      <c r="C16" s="22">
        <f>+SUM(C3:C15)</f>
        <v>66</v>
      </c>
      <c r="D16" s="8">
        <f>+SUM(D3:D15)</f>
        <v>330750</v>
      </c>
      <c r="E16" s="1"/>
      <c r="F16" s="6">
        <v>46197</v>
      </c>
      <c r="G16" s="7" t="s">
        <v>6</v>
      </c>
      <c r="H16" s="7" t="s">
        <v>5</v>
      </c>
      <c r="I16" s="5">
        <v>2000</v>
      </c>
    </row>
    <row r="17" spans="1:9" ht="15.6" x14ac:dyDescent="0.3">
      <c r="A17" s="1"/>
      <c r="B17" s="1"/>
      <c r="C17" s="1"/>
      <c r="D17" s="1"/>
      <c r="E17" s="1"/>
      <c r="F17" s="6">
        <v>46199</v>
      </c>
      <c r="G17" s="7" t="s">
        <v>4</v>
      </c>
      <c r="H17" s="7" t="s">
        <v>5</v>
      </c>
      <c r="I17" s="5">
        <v>3000</v>
      </c>
    </row>
    <row r="18" spans="1:9" ht="15.6" x14ac:dyDescent="0.3">
      <c r="A18" s="1"/>
      <c r="B18" s="1"/>
      <c r="C18" s="1"/>
      <c r="D18" s="1"/>
      <c r="E18" s="1"/>
      <c r="F18" s="6">
        <v>46205</v>
      </c>
      <c r="G18" s="7" t="s">
        <v>4</v>
      </c>
      <c r="H18" s="7" t="s">
        <v>5</v>
      </c>
      <c r="I18" s="5">
        <v>50000</v>
      </c>
    </row>
    <row r="19" spans="1:9" ht="15.6" x14ac:dyDescent="0.3">
      <c r="A19" s="1"/>
      <c r="B19" s="1"/>
      <c r="C19" s="1"/>
      <c r="D19" s="1"/>
      <c r="F19" s="6">
        <v>46212</v>
      </c>
      <c r="G19" s="7" t="s">
        <v>4</v>
      </c>
      <c r="H19" s="7" t="s">
        <v>5</v>
      </c>
      <c r="I19" s="5">
        <v>20000</v>
      </c>
    </row>
    <row r="20" spans="1:9" ht="15.6" x14ac:dyDescent="0.3">
      <c r="A20" s="1"/>
      <c r="B20" s="9"/>
      <c r="C20" s="9" t="s">
        <v>21</v>
      </c>
      <c r="D20" s="10">
        <f>+D16-I22</f>
        <v>-47700</v>
      </c>
      <c r="F20" s="6">
        <v>46223</v>
      </c>
      <c r="G20" s="7" t="s">
        <v>6</v>
      </c>
      <c r="H20" s="7" t="s">
        <v>5</v>
      </c>
      <c r="I20" s="5">
        <v>27000</v>
      </c>
    </row>
    <row r="21" spans="1:9" ht="15.6" x14ac:dyDescent="0.3">
      <c r="F21" s="6">
        <v>46236</v>
      </c>
      <c r="G21" s="7"/>
      <c r="H21" s="7"/>
      <c r="I21" s="5">
        <v>40750</v>
      </c>
    </row>
    <row r="22" spans="1:9" ht="15.6" x14ac:dyDescent="0.3">
      <c r="D22" s="17"/>
      <c r="F22" s="38" t="s">
        <v>7</v>
      </c>
      <c r="G22" s="38"/>
      <c r="H22" s="38"/>
      <c r="I22" s="8">
        <f>+SUM(I3:I21)</f>
        <v>378450</v>
      </c>
    </row>
  </sheetData>
  <mergeCells count="4">
    <mergeCell ref="F22:H22"/>
    <mergeCell ref="A1:D1"/>
    <mergeCell ref="F1:I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3FF0-ECB5-425E-AEBD-52083A4A6498}">
  <dimension ref="A1:L12"/>
  <sheetViews>
    <sheetView workbookViewId="0">
      <selection activeCell="I10" sqref="I10"/>
    </sheetView>
  </sheetViews>
  <sheetFormatPr defaultRowHeight="14.4" x14ac:dyDescent="0.3"/>
  <cols>
    <col min="1" max="1" width="11.44140625" bestFit="1" customWidth="1"/>
    <col min="2" max="2" width="9.109375" customWidth="1"/>
    <col min="3" max="3" width="16.5546875" bestFit="1" customWidth="1"/>
    <col min="4" max="4" width="11.77734375" bestFit="1" customWidth="1"/>
    <col min="6" max="6" width="11.44140625" bestFit="1" customWidth="1"/>
    <col min="9" max="9" width="11" bestFit="1" customWidth="1"/>
    <col min="11" max="11" width="12.21875" bestFit="1" customWidth="1"/>
  </cols>
  <sheetData>
    <row r="1" spans="1:12" ht="15.6" x14ac:dyDescent="0.3">
      <c r="A1" s="39" t="s">
        <v>43</v>
      </c>
      <c r="B1" s="39"/>
      <c r="C1" s="39"/>
      <c r="D1" s="39"/>
      <c r="E1" s="1"/>
      <c r="F1" s="39" t="s">
        <v>43</v>
      </c>
      <c r="G1" s="39"/>
      <c r="H1" s="39"/>
      <c r="I1" s="39"/>
      <c r="K1" s="39" t="s">
        <v>31</v>
      </c>
      <c r="L1" s="39"/>
    </row>
    <row r="2" spans="1:12" ht="15.6" x14ac:dyDescent="0.3">
      <c r="A2" s="12" t="s">
        <v>0</v>
      </c>
      <c r="B2" s="16" t="s">
        <v>14</v>
      </c>
      <c r="C2" s="16" t="s">
        <v>15</v>
      </c>
      <c r="D2" s="12" t="s">
        <v>1</v>
      </c>
      <c r="E2" s="1"/>
      <c r="F2" s="2" t="s">
        <v>0</v>
      </c>
      <c r="G2" s="2" t="s">
        <v>2</v>
      </c>
      <c r="H2" s="2" t="s">
        <v>3</v>
      </c>
      <c r="I2" s="2" t="s">
        <v>1</v>
      </c>
      <c r="K2" s="2" t="s">
        <v>22</v>
      </c>
      <c r="L2" s="2" t="s">
        <v>23</v>
      </c>
    </row>
    <row r="3" spans="1:12" ht="15.6" x14ac:dyDescent="0.3">
      <c r="A3" s="18">
        <v>46199</v>
      </c>
      <c r="B3" s="19">
        <v>7</v>
      </c>
      <c r="C3" s="19">
        <v>2</v>
      </c>
      <c r="D3" s="5">
        <f>+B3*12000+C3*7000</f>
        <v>98000</v>
      </c>
      <c r="E3" s="1"/>
      <c r="F3" s="6" t="s">
        <v>44</v>
      </c>
      <c r="G3" s="7" t="s">
        <v>4</v>
      </c>
      <c r="H3" s="7" t="s">
        <v>13</v>
      </c>
      <c r="I3" s="7">
        <v>6000</v>
      </c>
      <c r="K3" s="14" t="s">
        <v>24</v>
      </c>
      <c r="L3" s="14">
        <v>12000</v>
      </c>
    </row>
    <row r="4" spans="1:12" ht="15.6" x14ac:dyDescent="0.3">
      <c r="A4" s="18">
        <v>46218</v>
      </c>
      <c r="B4" s="19">
        <v>8</v>
      </c>
      <c r="C4" s="19"/>
      <c r="D4" s="5">
        <f t="shared" ref="D4:D5" si="0">+B4*12000+C4*7000</f>
        <v>96000</v>
      </c>
      <c r="E4" s="1"/>
      <c r="F4" s="6">
        <v>46186</v>
      </c>
      <c r="G4" s="7" t="s">
        <v>4</v>
      </c>
      <c r="H4" s="7" t="s">
        <v>5</v>
      </c>
      <c r="I4" s="7">
        <v>18000</v>
      </c>
      <c r="K4" s="14" t="s">
        <v>46</v>
      </c>
      <c r="L4" s="14">
        <v>7000</v>
      </c>
    </row>
    <row r="5" spans="1:12" ht="15.6" x14ac:dyDescent="0.3">
      <c r="A5" s="3">
        <v>46234</v>
      </c>
      <c r="B5" s="7">
        <v>13</v>
      </c>
      <c r="C5" s="7"/>
      <c r="D5" s="5">
        <f t="shared" si="0"/>
        <v>156000</v>
      </c>
      <c r="E5" s="1"/>
      <c r="F5" s="6">
        <v>46199</v>
      </c>
      <c r="G5" s="7" t="s">
        <v>4</v>
      </c>
      <c r="H5" s="7" t="s">
        <v>5</v>
      </c>
      <c r="I5" s="7">
        <v>12000</v>
      </c>
      <c r="K5" s="13"/>
      <c r="L5" s="13"/>
    </row>
    <row r="6" spans="1:12" ht="15.6" x14ac:dyDescent="0.3">
      <c r="A6" s="2" t="s">
        <v>7</v>
      </c>
      <c r="B6" s="22">
        <f>+SUM(B3:B5)</f>
        <v>28</v>
      </c>
      <c r="C6" s="22">
        <f>+SUM(C3:C5)</f>
        <v>2</v>
      </c>
      <c r="D6" s="8">
        <f>+SUM(D3:D5)</f>
        <v>350000</v>
      </c>
      <c r="E6" s="1"/>
      <c r="F6" s="6">
        <v>46205</v>
      </c>
      <c r="G6" s="7" t="s">
        <v>4</v>
      </c>
      <c r="H6" s="7" t="s">
        <v>5</v>
      </c>
      <c r="I6" s="7">
        <v>110000</v>
      </c>
      <c r="K6" s="13"/>
      <c r="L6" s="13"/>
    </row>
    <row r="7" spans="1:12" ht="15.6" x14ac:dyDescent="0.3">
      <c r="A7" s="1"/>
      <c r="B7" s="1"/>
      <c r="C7" s="1"/>
      <c r="D7" s="1"/>
      <c r="E7" s="1"/>
      <c r="F7" s="6">
        <v>46221</v>
      </c>
      <c r="G7" s="7" t="s">
        <v>4</v>
      </c>
      <c r="H7" s="7" t="s">
        <v>5</v>
      </c>
      <c r="I7" s="7">
        <v>50000</v>
      </c>
    </row>
    <row r="8" spans="1:12" ht="15.6" x14ac:dyDescent="0.3">
      <c r="A8" s="1"/>
      <c r="B8" s="1"/>
      <c r="C8" s="1"/>
      <c r="D8" s="1"/>
      <c r="E8" s="1"/>
      <c r="F8" s="6">
        <v>46220</v>
      </c>
      <c r="G8" s="7" t="s">
        <v>6</v>
      </c>
      <c r="H8" s="7" t="s">
        <v>13</v>
      </c>
      <c r="I8" s="7">
        <v>2000</v>
      </c>
    </row>
    <row r="9" spans="1:12" ht="15.6" x14ac:dyDescent="0.3">
      <c r="A9" s="1"/>
      <c r="B9" s="1"/>
      <c r="C9" s="1"/>
      <c r="D9" s="1"/>
      <c r="F9" s="6">
        <v>46237</v>
      </c>
      <c r="G9" s="7"/>
      <c r="H9" s="7"/>
      <c r="I9" s="7">
        <v>106000</v>
      </c>
    </row>
    <row r="10" spans="1:12" ht="15.6" x14ac:dyDescent="0.3">
      <c r="A10" s="1"/>
      <c r="B10" s="9"/>
      <c r="C10" s="9" t="s">
        <v>21</v>
      </c>
      <c r="D10" s="10">
        <f>+D6-I10</f>
        <v>46000</v>
      </c>
      <c r="F10" s="38" t="s">
        <v>7</v>
      </c>
      <c r="G10" s="38"/>
      <c r="H10" s="38"/>
      <c r="I10" s="8">
        <f>+SUM(I3:I9)</f>
        <v>304000</v>
      </c>
    </row>
    <row r="12" spans="1:12" x14ac:dyDescent="0.3">
      <c r="D12" s="17"/>
    </row>
  </sheetData>
  <mergeCells count="4">
    <mergeCell ref="A1:D1"/>
    <mergeCell ref="F1:I1"/>
    <mergeCell ref="K1:L1"/>
    <mergeCell ref="F10:H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2213-DAE1-4AEA-B487-C931D63542A9}">
  <dimension ref="A1:M14"/>
  <sheetViews>
    <sheetView workbookViewId="0">
      <selection activeCell="G1" sqref="G1:J1"/>
    </sheetView>
  </sheetViews>
  <sheetFormatPr defaultRowHeight="14.4" x14ac:dyDescent="0.3"/>
  <cols>
    <col min="1" max="1" width="11.44140625" bestFit="1" customWidth="1"/>
    <col min="2" max="2" width="9.109375" customWidth="1"/>
    <col min="3" max="3" width="9.88671875" customWidth="1"/>
    <col min="4" max="4" width="11.21875" customWidth="1"/>
    <col min="5" max="5" width="12.6640625" bestFit="1" customWidth="1"/>
    <col min="7" max="7" width="11.44140625" bestFit="1" customWidth="1"/>
    <col min="10" max="10" width="11" bestFit="1" customWidth="1"/>
    <col min="12" max="12" width="12.21875" bestFit="1" customWidth="1"/>
  </cols>
  <sheetData>
    <row r="1" spans="1:13" ht="15.6" x14ac:dyDescent="0.3">
      <c r="A1" s="39" t="s">
        <v>108</v>
      </c>
      <c r="B1" s="39"/>
      <c r="C1" s="39"/>
      <c r="D1" s="39"/>
      <c r="E1" s="39"/>
      <c r="F1" s="1"/>
      <c r="G1" s="39" t="s">
        <v>108</v>
      </c>
      <c r="H1" s="39"/>
      <c r="I1" s="39"/>
      <c r="J1" s="39"/>
      <c r="L1" s="39" t="s">
        <v>31</v>
      </c>
      <c r="M1" s="39"/>
    </row>
    <row r="2" spans="1:13" ht="15.6" x14ac:dyDescent="0.3">
      <c r="A2" s="12" t="s">
        <v>0</v>
      </c>
      <c r="B2" s="16" t="s">
        <v>19</v>
      </c>
      <c r="C2" s="16" t="s">
        <v>14</v>
      </c>
      <c r="D2" s="16" t="s">
        <v>15</v>
      </c>
      <c r="E2" s="12" t="s">
        <v>1</v>
      </c>
      <c r="F2" s="1"/>
      <c r="G2" s="2" t="s">
        <v>0</v>
      </c>
      <c r="H2" s="2" t="s">
        <v>2</v>
      </c>
      <c r="I2" s="2" t="s">
        <v>3</v>
      </c>
      <c r="J2" s="2" t="s">
        <v>1</v>
      </c>
      <c r="L2" s="2" t="s">
        <v>22</v>
      </c>
      <c r="M2" s="2" t="s">
        <v>23</v>
      </c>
    </row>
    <row r="3" spans="1:13" ht="15.6" x14ac:dyDescent="0.3">
      <c r="A3" s="18">
        <v>46173</v>
      </c>
      <c r="B3" s="19">
        <v>10</v>
      </c>
      <c r="C3" s="19"/>
      <c r="D3" s="19"/>
      <c r="E3" s="5">
        <f>+B3*2500+C3*12000+D3*7000</f>
        <v>25000</v>
      </c>
      <c r="F3" s="1"/>
      <c r="G3" s="6">
        <v>46166</v>
      </c>
      <c r="H3" s="7" t="s">
        <v>4</v>
      </c>
      <c r="I3" s="7" t="s">
        <v>5</v>
      </c>
      <c r="J3" s="7">
        <v>10000</v>
      </c>
      <c r="L3" s="14" t="s">
        <v>24</v>
      </c>
      <c r="M3" s="14">
        <v>12000</v>
      </c>
    </row>
    <row r="4" spans="1:13" ht="15.6" x14ac:dyDescent="0.3">
      <c r="A4" s="18">
        <v>46188</v>
      </c>
      <c r="B4" s="19">
        <v>20</v>
      </c>
      <c r="C4" s="19">
        <v>2</v>
      </c>
      <c r="D4" s="19">
        <v>2</v>
      </c>
      <c r="E4" s="5">
        <f t="shared" ref="E4:E7" si="0">+B4*2500+C4*12000+D4*7000</f>
        <v>88000</v>
      </c>
      <c r="F4" s="1"/>
      <c r="G4" s="6">
        <v>46169</v>
      </c>
      <c r="H4" s="7" t="s">
        <v>4</v>
      </c>
      <c r="I4" s="7" t="s">
        <v>5</v>
      </c>
      <c r="J4" s="7">
        <v>15000</v>
      </c>
      <c r="L4" s="14" t="s">
        <v>46</v>
      </c>
      <c r="M4" s="14">
        <v>7000</v>
      </c>
    </row>
    <row r="5" spans="1:13" ht="15.6" x14ac:dyDescent="0.3">
      <c r="A5" s="18">
        <v>46203</v>
      </c>
      <c r="B5" s="19">
        <v>37</v>
      </c>
      <c r="C5" s="19">
        <v>6</v>
      </c>
      <c r="D5" s="19">
        <v>6</v>
      </c>
      <c r="E5" s="5">
        <f t="shared" si="0"/>
        <v>206500</v>
      </c>
      <c r="F5" s="1"/>
      <c r="G5" s="6">
        <v>46184</v>
      </c>
      <c r="H5" s="7" t="s">
        <v>4</v>
      </c>
      <c r="I5" s="7" t="s">
        <v>5</v>
      </c>
      <c r="J5" s="7">
        <v>15000</v>
      </c>
      <c r="L5" s="14" t="s">
        <v>47</v>
      </c>
      <c r="M5" s="14">
        <v>2500</v>
      </c>
    </row>
    <row r="6" spans="1:13" ht="15.6" x14ac:dyDescent="0.3">
      <c r="A6" s="18">
        <v>46218</v>
      </c>
      <c r="B6" s="19">
        <v>23</v>
      </c>
      <c r="C6" s="19">
        <v>15</v>
      </c>
      <c r="D6" s="19">
        <v>11</v>
      </c>
      <c r="E6" s="5">
        <f t="shared" si="0"/>
        <v>314500</v>
      </c>
      <c r="F6" s="1"/>
      <c r="G6" s="6">
        <v>46199</v>
      </c>
      <c r="H6" s="7" t="s">
        <v>4</v>
      </c>
      <c r="I6" s="7" t="s">
        <v>13</v>
      </c>
      <c r="J6" s="7">
        <v>25000</v>
      </c>
      <c r="L6" s="13"/>
      <c r="M6" s="13"/>
    </row>
    <row r="7" spans="1:13" ht="15.6" x14ac:dyDescent="0.3">
      <c r="A7" s="18">
        <v>46234</v>
      </c>
      <c r="B7" s="19">
        <v>4</v>
      </c>
      <c r="C7" s="19">
        <v>16</v>
      </c>
      <c r="D7" s="19">
        <v>20</v>
      </c>
      <c r="E7" s="5">
        <f t="shared" si="0"/>
        <v>342000</v>
      </c>
      <c r="F7" s="1"/>
      <c r="G7" s="6">
        <v>46204</v>
      </c>
      <c r="H7" s="7" t="s">
        <v>4</v>
      </c>
      <c r="I7" s="7" t="s">
        <v>5</v>
      </c>
      <c r="J7" s="7">
        <v>254500</v>
      </c>
    </row>
    <row r="8" spans="1:13" ht="15.6" x14ac:dyDescent="0.3">
      <c r="A8" s="2" t="s">
        <v>7</v>
      </c>
      <c r="B8" s="22">
        <f>+SUM(B3:B7)</f>
        <v>94</v>
      </c>
      <c r="C8" s="22">
        <f>+SUM(C3:C7)</f>
        <v>39</v>
      </c>
      <c r="D8" s="22">
        <f>+SUM(D3:D7)</f>
        <v>39</v>
      </c>
      <c r="E8" s="21">
        <f>+SUM(E3:E7)</f>
        <v>976000</v>
      </c>
      <c r="G8" s="6">
        <v>46220</v>
      </c>
      <c r="H8" s="7" t="s">
        <v>6</v>
      </c>
      <c r="I8" s="7"/>
      <c r="J8" s="7">
        <v>214000</v>
      </c>
    </row>
    <row r="9" spans="1:13" ht="15.6" x14ac:dyDescent="0.3">
      <c r="A9" s="1"/>
      <c r="B9" s="1"/>
      <c r="C9" s="1"/>
      <c r="D9" s="1"/>
      <c r="E9" s="1"/>
      <c r="G9" s="6">
        <v>46236</v>
      </c>
      <c r="H9" s="7"/>
      <c r="I9" s="7"/>
      <c r="J9" s="7">
        <v>200000</v>
      </c>
    </row>
    <row r="10" spans="1:13" ht="15.6" x14ac:dyDescent="0.3">
      <c r="A10" s="1"/>
      <c r="B10" s="1"/>
      <c r="C10" s="1"/>
      <c r="D10" s="1"/>
      <c r="E10" s="1"/>
      <c r="G10" s="38" t="s">
        <v>7</v>
      </c>
      <c r="H10" s="38"/>
      <c r="I10" s="38"/>
      <c r="J10" s="8">
        <f>+SUM(J3:J9)</f>
        <v>733500</v>
      </c>
    </row>
    <row r="11" spans="1:13" ht="15.6" x14ac:dyDescent="0.3">
      <c r="A11" s="1"/>
      <c r="B11" s="1"/>
      <c r="C11" s="1"/>
      <c r="D11" s="1"/>
      <c r="E11" s="1"/>
    </row>
    <row r="12" spans="1:13" ht="15.6" x14ac:dyDescent="0.3">
      <c r="A12" s="1"/>
      <c r="B12" s="9"/>
      <c r="C12" s="9" t="s">
        <v>21</v>
      </c>
      <c r="D12" s="9"/>
      <c r="E12" s="10">
        <f>+E8-J10</f>
        <v>242500</v>
      </c>
    </row>
    <row r="14" spans="1:13" x14ac:dyDescent="0.3">
      <c r="E14" s="17"/>
    </row>
  </sheetData>
  <mergeCells count="4">
    <mergeCell ref="A1:E1"/>
    <mergeCell ref="G1:J1"/>
    <mergeCell ref="L1:M1"/>
    <mergeCell ref="G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097F-C5D2-46F6-BF2F-5988C97F1CB4}">
  <dimension ref="A1:K22"/>
  <sheetViews>
    <sheetView workbookViewId="0">
      <selection activeCell="H23" sqref="H23"/>
    </sheetView>
  </sheetViews>
  <sheetFormatPr defaultRowHeight="14.4" x14ac:dyDescent="0.3"/>
  <cols>
    <col min="1" max="1" width="11.44140625" bestFit="1" customWidth="1"/>
    <col min="2" max="2" width="9.109375" customWidth="1"/>
    <col min="3" max="3" width="10.88671875" bestFit="1" customWidth="1"/>
    <col min="4" max="4" width="11.21875" customWidth="1"/>
    <col min="5" max="5" width="11.77734375" bestFit="1" customWidth="1"/>
    <col min="7" max="7" width="11.44140625" bestFit="1" customWidth="1"/>
    <col min="8" max="8" width="10.88671875" bestFit="1" customWidth="1"/>
    <col min="10" max="10" width="11" bestFit="1" customWidth="1"/>
    <col min="12" max="12" width="12.21875" bestFit="1" customWidth="1"/>
  </cols>
  <sheetData>
    <row r="1" spans="1:11" ht="15.6" x14ac:dyDescent="0.3">
      <c r="A1" s="20" t="s">
        <v>49</v>
      </c>
      <c r="B1" s="20"/>
      <c r="C1" s="20"/>
      <c r="D1" s="1"/>
      <c r="E1" s="39" t="s">
        <v>49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6" t="s">
        <v>18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46157</v>
      </c>
      <c r="B3" s="19">
        <v>14</v>
      </c>
      <c r="C3" s="5">
        <f>+B3*3000</f>
        <v>42000</v>
      </c>
      <c r="D3" s="1"/>
      <c r="E3" s="6">
        <v>46158</v>
      </c>
      <c r="F3" s="7" t="s">
        <v>4</v>
      </c>
      <c r="G3" s="7" t="s">
        <v>5</v>
      </c>
      <c r="H3" s="7">
        <v>42000</v>
      </c>
      <c r="J3" s="14" t="s">
        <v>50</v>
      </c>
      <c r="K3" s="14">
        <v>3000</v>
      </c>
    </row>
    <row r="4" spans="1:11" ht="15.6" x14ac:dyDescent="0.3">
      <c r="A4" s="18">
        <v>46173</v>
      </c>
      <c r="B4" s="19">
        <v>28</v>
      </c>
      <c r="C4" s="5">
        <f t="shared" ref="C4:C9" si="0">+B4*3000</f>
        <v>84000</v>
      </c>
      <c r="D4" s="1"/>
      <c r="E4" s="6">
        <v>46164</v>
      </c>
      <c r="F4" s="7" t="s">
        <v>4</v>
      </c>
      <c r="G4" s="7" t="s">
        <v>5</v>
      </c>
      <c r="H4" s="7">
        <v>45000</v>
      </c>
      <c r="J4" s="13"/>
      <c r="K4" s="13"/>
    </row>
    <row r="5" spans="1:11" ht="15.6" x14ac:dyDescent="0.3">
      <c r="A5" s="18">
        <v>46188</v>
      </c>
      <c r="B5" s="19">
        <v>36</v>
      </c>
      <c r="C5" s="5">
        <f t="shared" si="0"/>
        <v>108000</v>
      </c>
      <c r="D5" s="1"/>
      <c r="E5" s="6">
        <v>46169</v>
      </c>
      <c r="F5" s="7" t="s">
        <v>4</v>
      </c>
      <c r="G5" s="7" t="s">
        <v>5</v>
      </c>
      <c r="H5" s="7">
        <v>39000</v>
      </c>
    </row>
    <row r="6" spans="1:11" ht="15.6" x14ac:dyDescent="0.3">
      <c r="A6" s="18">
        <v>46203</v>
      </c>
      <c r="B6" s="19">
        <v>38</v>
      </c>
      <c r="C6" s="5">
        <f t="shared" si="0"/>
        <v>114000</v>
      </c>
      <c r="D6" s="1"/>
      <c r="E6" s="6">
        <v>46183</v>
      </c>
      <c r="F6" s="7" t="s">
        <v>4</v>
      </c>
      <c r="G6" s="7" t="s">
        <v>5</v>
      </c>
      <c r="H6" s="7">
        <v>28000</v>
      </c>
    </row>
    <row r="7" spans="1:11" ht="15.6" x14ac:dyDescent="0.3">
      <c r="A7" s="18">
        <v>46218</v>
      </c>
      <c r="B7" s="19">
        <v>38</v>
      </c>
      <c r="C7" s="5">
        <f t="shared" si="0"/>
        <v>114000</v>
      </c>
      <c r="D7" s="1"/>
      <c r="E7" s="6">
        <v>46184</v>
      </c>
      <c r="F7" s="7" t="s">
        <v>4</v>
      </c>
      <c r="G7" s="7" t="s">
        <v>5</v>
      </c>
      <c r="H7" s="7">
        <v>20000</v>
      </c>
    </row>
    <row r="8" spans="1:11" ht="15.6" x14ac:dyDescent="0.3">
      <c r="A8" s="3">
        <v>46234</v>
      </c>
      <c r="B8" s="7">
        <v>42</v>
      </c>
      <c r="C8" s="5">
        <f t="shared" si="0"/>
        <v>126000</v>
      </c>
      <c r="D8" s="1"/>
      <c r="E8" s="6">
        <v>46186</v>
      </c>
      <c r="F8" s="7" t="s">
        <v>4</v>
      </c>
      <c r="G8" s="7" t="s">
        <v>5</v>
      </c>
      <c r="H8" s="7">
        <v>25000</v>
      </c>
    </row>
    <row r="9" spans="1:11" ht="15.6" x14ac:dyDescent="0.3">
      <c r="A9" s="3"/>
      <c r="B9" s="7"/>
      <c r="C9" s="5">
        <f t="shared" si="0"/>
        <v>0</v>
      </c>
      <c r="D9" s="1"/>
      <c r="E9" s="6">
        <v>46186</v>
      </c>
      <c r="F9" s="7" t="s">
        <v>4</v>
      </c>
      <c r="G9" s="7" t="s">
        <v>5</v>
      </c>
      <c r="H9" s="7">
        <v>5000</v>
      </c>
    </row>
    <row r="10" spans="1:11" ht="15.6" x14ac:dyDescent="0.3">
      <c r="A10" s="11" t="s">
        <v>7</v>
      </c>
      <c r="B10" s="22">
        <f>+SUM(B3:B9)</f>
        <v>196</v>
      </c>
      <c r="C10" s="8">
        <f>+SUM(C3:C9)</f>
        <v>588000</v>
      </c>
      <c r="E10" s="6">
        <v>46191</v>
      </c>
      <c r="F10" s="7" t="s">
        <v>4</v>
      </c>
      <c r="G10" s="7" t="s">
        <v>5</v>
      </c>
      <c r="H10" s="7">
        <v>30000</v>
      </c>
    </row>
    <row r="11" spans="1:11" ht="15.6" x14ac:dyDescent="0.3">
      <c r="A11" s="1"/>
      <c r="B11" s="1"/>
      <c r="C11" s="1"/>
      <c r="E11" s="6">
        <v>46198</v>
      </c>
      <c r="F11" s="7" t="s">
        <v>4</v>
      </c>
      <c r="G11" s="7" t="s">
        <v>5</v>
      </c>
      <c r="H11" s="7">
        <v>10000</v>
      </c>
    </row>
    <row r="12" spans="1:11" ht="15.6" x14ac:dyDescent="0.3">
      <c r="A12" s="1"/>
      <c r="B12" s="1"/>
      <c r="C12" s="1"/>
      <c r="E12" s="6">
        <v>46203</v>
      </c>
      <c r="F12" s="7" t="s">
        <v>4</v>
      </c>
      <c r="G12" s="7"/>
      <c r="H12" s="7">
        <v>50000</v>
      </c>
    </row>
    <row r="13" spans="1:11" ht="15.6" x14ac:dyDescent="0.3">
      <c r="A13" s="1"/>
      <c r="B13" s="1"/>
      <c r="C13" s="1"/>
      <c r="E13" s="6">
        <v>46203</v>
      </c>
      <c r="F13" s="7" t="s">
        <v>4</v>
      </c>
      <c r="G13" s="7"/>
      <c r="H13" s="7">
        <v>50000</v>
      </c>
    </row>
    <row r="14" spans="1:11" ht="15.6" x14ac:dyDescent="0.3">
      <c r="A14" s="1"/>
      <c r="B14" s="9" t="s">
        <v>21</v>
      </c>
      <c r="C14" s="10">
        <f>+C10-H22</f>
        <v>122500</v>
      </c>
      <c r="E14" s="6">
        <v>46203</v>
      </c>
      <c r="F14" s="7" t="s">
        <v>4</v>
      </c>
      <c r="G14" s="7"/>
      <c r="H14" s="7">
        <v>4000</v>
      </c>
    </row>
    <row r="15" spans="1:11" ht="15.6" x14ac:dyDescent="0.3">
      <c r="E15" s="6">
        <v>46219</v>
      </c>
      <c r="F15" s="7" t="s">
        <v>4</v>
      </c>
      <c r="G15" s="7" t="s">
        <v>13</v>
      </c>
      <c r="H15" s="7">
        <v>29000</v>
      </c>
    </row>
    <row r="16" spans="1:11" ht="15.6" x14ac:dyDescent="0.3">
      <c r="C16" s="17"/>
      <c r="E16" s="6">
        <v>46221</v>
      </c>
      <c r="F16" s="7" t="s">
        <v>53</v>
      </c>
      <c r="G16" s="7" t="s">
        <v>5</v>
      </c>
      <c r="H16" s="7">
        <v>35000</v>
      </c>
    </row>
    <row r="17" spans="5:8" ht="15.6" x14ac:dyDescent="0.3">
      <c r="E17" s="6">
        <v>46225</v>
      </c>
      <c r="F17" s="7" t="s">
        <v>6</v>
      </c>
      <c r="G17" s="7" t="s">
        <v>13</v>
      </c>
      <c r="H17" s="7">
        <v>1000</v>
      </c>
    </row>
    <row r="18" spans="5:8" ht="15.6" x14ac:dyDescent="0.3">
      <c r="E18" s="6">
        <v>46231</v>
      </c>
      <c r="F18" s="7" t="s">
        <v>6</v>
      </c>
      <c r="G18" s="7" t="s">
        <v>13</v>
      </c>
      <c r="H18" s="7">
        <v>500</v>
      </c>
    </row>
    <row r="19" spans="5:8" ht="15.6" x14ac:dyDescent="0.3">
      <c r="E19" s="6">
        <v>46232</v>
      </c>
      <c r="F19" s="7" t="s">
        <v>52</v>
      </c>
      <c r="G19" s="7" t="s">
        <v>13</v>
      </c>
      <c r="H19" s="7">
        <v>1000</v>
      </c>
    </row>
    <row r="20" spans="5:8" ht="15.6" x14ac:dyDescent="0.3">
      <c r="E20" s="6">
        <v>46234</v>
      </c>
      <c r="F20" s="7" t="s">
        <v>54</v>
      </c>
      <c r="G20" s="7" t="s">
        <v>5</v>
      </c>
      <c r="H20" s="7">
        <v>1000</v>
      </c>
    </row>
    <row r="21" spans="5:8" ht="15.6" x14ac:dyDescent="0.3">
      <c r="E21" s="6">
        <v>46236</v>
      </c>
      <c r="F21" s="7"/>
      <c r="G21" s="7"/>
      <c r="H21" s="7">
        <v>50000</v>
      </c>
    </row>
    <row r="22" spans="5:8" ht="15.6" x14ac:dyDescent="0.3">
      <c r="E22" s="38" t="s">
        <v>7</v>
      </c>
      <c r="F22" s="38"/>
      <c r="G22" s="38"/>
      <c r="H22" s="8">
        <f>+SUM(H3:H21)</f>
        <v>465500</v>
      </c>
    </row>
  </sheetData>
  <mergeCells count="3">
    <mergeCell ref="E1:H1"/>
    <mergeCell ref="J1:K1"/>
    <mergeCell ref="E22:G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9C26-0D8B-477F-97B4-AF474A4D98D5}">
  <dimension ref="A1:L32"/>
  <sheetViews>
    <sheetView workbookViewId="0">
      <pane ySplit="2" topLeftCell="A3" activePane="bottomLeft" state="frozen"/>
      <selection pane="bottomLeft" activeCell="F1" sqref="F1:I1"/>
    </sheetView>
  </sheetViews>
  <sheetFormatPr defaultRowHeight="14.4" x14ac:dyDescent="0.3"/>
  <cols>
    <col min="1" max="1" width="11.44140625" bestFit="1" customWidth="1"/>
    <col min="2" max="2" width="5.44140625" bestFit="1" customWidth="1"/>
    <col min="3" max="3" width="8.44140625" customWidth="1"/>
    <col min="4" max="4" width="10.88671875" bestFit="1" customWidth="1"/>
    <col min="6" max="6" width="11.44140625" bestFit="1" customWidth="1"/>
    <col min="7" max="7" width="5.5546875" bestFit="1" customWidth="1"/>
    <col min="8" max="8" width="7.77734375" bestFit="1" customWidth="1"/>
    <col min="9" max="9" width="10.88671875" bestFit="1" customWidth="1"/>
    <col min="11" max="11" width="9.88671875" bestFit="1" customWidth="1"/>
    <col min="12" max="12" width="7" bestFit="1" customWidth="1"/>
  </cols>
  <sheetData>
    <row r="1" spans="1:12" ht="15.6" x14ac:dyDescent="0.3">
      <c r="A1" s="39" t="s">
        <v>107</v>
      </c>
      <c r="B1" s="39"/>
      <c r="C1" s="39"/>
      <c r="D1" s="39"/>
      <c r="E1" s="1"/>
      <c r="F1" s="39" t="s">
        <v>107</v>
      </c>
      <c r="G1" s="39"/>
      <c r="H1" s="39"/>
      <c r="I1" s="39"/>
      <c r="K1" s="39" t="s">
        <v>31</v>
      </c>
      <c r="L1" s="39"/>
    </row>
    <row r="2" spans="1:12" ht="15.6" x14ac:dyDescent="0.3">
      <c r="A2" s="12" t="s">
        <v>0</v>
      </c>
      <c r="B2" s="16" t="s">
        <v>14</v>
      </c>
      <c r="C2" s="16" t="s">
        <v>56</v>
      </c>
      <c r="D2" s="12" t="s">
        <v>1</v>
      </c>
      <c r="E2" s="1"/>
      <c r="F2" s="2" t="s">
        <v>0</v>
      </c>
      <c r="G2" s="2" t="s">
        <v>2</v>
      </c>
      <c r="H2" s="2" t="s">
        <v>3</v>
      </c>
      <c r="I2" s="2" t="s">
        <v>1</v>
      </c>
      <c r="K2" s="2" t="s">
        <v>22</v>
      </c>
      <c r="L2" s="2" t="s">
        <v>23</v>
      </c>
    </row>
    <row r="3" spans="1:12" ht="15.6" x14ac:dyDescent="0.3">
      <c r="A3" s="18">
        <v>46157</v>
      </c>
      <c r="B3" s="19">
        <v>58</v>
      </c>
      <c r="C3" s="19"/>
      <c r="D3" s="5">
        <f>+B3*$L$3+C3*$L$4</f>
        <v>696000</v>
      </c>
      <c r="E3" s="1"/>
      <c r="F3" s="6"/>
      <c r="G3" s="2"/>
      <c r="H3" s="2"/>
      <c r="I3" s="7">
        <v>20000</v>
      </c>
      <c r="K3" s="14" t="s">
        <v>24</v>
      </c>
      <c r="L3" s="14">
        <v>12000</v>
      </c>
    </row>
    <row r="4" spans="1:12" ht="15.6" x14ac:dyDescent="0.3">
      <c r="A4" s="18">
        <v>46173</v>
      </c>
      <c r="B4" s="19">
        <v>12</v>
      </c>
      <c r="C4" s="19">
        <v>1</v>
      </c>
      <c r="D4" s="5">
        <f>+B4*$L$3+C4*$L$4</f>
        <v>194000</v>
      </c>
      <c r="E4" s="1"/>
      <c r="F4" s="6"/>
      <c r="G4" s="2"/>
      <c r="H4" s="2"/>
      <c r="I4" s="7">
        <v>9000</v>
      </c>
      <c r="K4" s="14" t="s">
        <v>55</v>
      </c>
      <c r="L4" s="14">
        <v>50000</v>
      </c>
    </row>
    <row r="5" spans="1:12" ht="15.6" x14ac:dyDescent="0.3">
      <c r="A5" s="18">
        <v>46188</v>
      </c>
      <c r="B5" s="19">
        <v>6</v>
      </c>
      <c r="C5" s="19">
        <v>0</v>
      </c>
      <c r="D5" s="5">
        <f t="shared" ref="D5:D8" si="0">+B5*$L$3+C5*$L$4</f>
        <v>72000</v>
      </c>
      <c r="E5" s="1"/>
      <c r="F5" s="6"/>
      <c r="G5" s="2"/>
      <c r="H5" s="2"/>
      <c r="I5" s="7">
        <v>25000</v>
      </c>
      <c r="K5" s="13"/>
      <c r="L5" s="13"/>
    </row>
    <row r="6" spans="1:12" ht="15.6" x14ac:dyDescent="0.3">
      <c r="A6" s="18">
        <v>46203</v>
      </c>
      <c r="B6" s="19">
        <v>6</v>
      </c>
      <c r="C6" s="19">
        <v>0</v>
      </c>
      <c r="D6" s="5">
        <f t="shared" si="0"/>
        <v>72000</v>
      </c>
      <c r="E6" s="1"/>
      <c r="F6" s="6">
        <v>46059</v>
      </c>
      <c r="G6" s="2"/>
      <c r="H6" s="2"/>
      <c r="I6" s="7">
        <v>25000</v>
      </c>
      <c r="K6" s="13"/>
      <c r="L6" s="13"/>
    </row>
    <row r="7" spans="1:12" ht="15.6" x14ac:dyDescent="0.3">
      <c r="A7" s="18">
        <v>46218</v>
      </c>
      <c r="B7" s="19">
        <v>12</v>
      </c>
      <c r="C7" s="19">
        <v>0</v>
      </c>
      <c r="D7" s="5">
        <f t="shared" si="0"/>
        <v>144000</v>
      </c>
      <c r="E7" s="1"/>
      <c r="F7" s="6">
        <v>46066</v>
      </c>
      <c r="G7" s="2"/>
      <c r="H7" s="2"/>
      <c r="I7" s="7">
        <v>25000</v>
      </c>
    </row>
    <row r="8" spans="1:12" ht="15.6" x14ac:dyDescent="0.3">
      <c r="A8" s="18">
        <v>46234</v>
      </c>
      <c r="B8" s="19">
        <v>14</v>
      </c>
      <c r="C8" s="19">
        <v>0</v>
      </c>
      <c r="D8" s="5">
        <f t="shared" si="0"/>
        <v>168000</v>
      </c>
      <c r="E8" s="1"/>
      <c r="F8" s="6">
        <v>46073</v>
      </c>
      <c r="G8" s="2"/>
      <c r="H8" s="2"/>
      <c r="I8" s="7">
        <v>25000</v>
      </c>
    </row>
    <row r="9" spans="1:12" ht="15.6" x14ac:dyDescent="0.3">
      <c r="A9" s="3"/>
      <c r="B9" s="7"/>
      <c r="C9" s="19">
        <v>0</v>
      </c>
      <c r="D9" s="5">
        <f t="shared" ref="D9:D10" si="1">+B9*$L$3+C9*$L$4</f>
        <v>0</v>
      </c>
      <c r="E9" s="1"/>
      <c r="F9" s="6">
        <v>46073</v>
      </c>
      <c r="G9" s="2"/>
      <c r="H9" s="2"/>
      <c r="I9" s="7">
        <v>50000</v>
      </c>
    </row>
    <row r="10" spans="1:12" ht="15.6" x14ac:dyDescent="0.3">
      <c r="A10" s="3"/>
      <c r="B10" s="7"/>
      <c r="C10" s="19">
        <v>0</v>
      </c>
      <c r="D10" s="5">
        <f t="shared" si="1"/>
        <v>0</v>
      </c>
      <c r="E10" s="1"/>
      <c r="F10" s="6">
        <v>46080</v>
      </c>
      <c r="G10" s="2"/>
      <c r="H10" s="2"/>
      <c r="I10" s="7">
        <v>25000</v>
      </c>
    </row>
    <row r="11" spans="1:12" ht="15.6" x14ac:dyDescent="0.3">
      <c r="A11" s="11" t="s">
        <v>7</v>
      </c>
      <c r="B11" s="8">
        <f t="shared" ref="B11:C11" si="2">+SUM(B3:B10)</f>
        <v>108</v>
      </c>
      <c r="C11" s="8">
        <f t="shared" si="2"/>
        <v>1</v>
      </c>
      <c r="D11" s="8">
        <f>+SUM(D3:D10)</f>
        <v>1346000</v>
      </c>
      <c r="E11" s="1"/>
      <c r="F11" s="6">
        <v>46087</v>
      </c>
      <c r="G11" s="2"/>
      <c r="H11" s="2"/>
      <c r="I11" s="7">
        <v>30000</v>
      </c>
    </row>
    <row r="12" spans="1:12" ht="15.6" x14ac:dyDescent="0.3">
      <c r="A12" s="1"/>
      <c r="B12" s="1"/>
      <c r="C12" s="1"/>
      <c r="D12" s="1"/>
      <c r="E12" s="1"/>
      <c r="F12" s="6">
        <v>46092</v>
      </c>
      <c r="G12" s="2"/>
      <c r="H12" s="2"/>
      <c r="I12" s="7">
        <v>175000</v>
      </c>
    </row>
    <row r="13" spans="1:12" ht="15.6" x14ac:dyDescent="0.3">
      <c r="A13" s="1"/>
      <c r="B13" s="1"/>
      <c r="C13" s="1"/>
      <c r="D13" s="1"/>
      <c r="E13" s="1"/>
      <c r="F13" s="6">
        <v>46101</v>
      </c>
      <c r="G13" s="2"/>
      <c r="H13" s="2"/>
      <c r="I13" s="7">
        <v>25000</v>
      </c>
    </row>
    <row r="14" spans="1:12" ht="15.6" x14ac:dyDescent="0.3">
      <c r="A14" s="1"/>
      <c r="B14" s="1"/>
      <c r="C14" s="1"/>
      <c r="D14" s="1"/>
      <c r="F14" s="6">
        <v>46105</v>
      </c>
      <c r="G14" s="2"/>
      <c r="H14" s="2"/>
      <c r="I14" s="7">
        <v>10000</v>
      </c>
    </row>
    <row r="15" spans="1:12" ht="15.6" x14ac:dyDescent="0.3">
      <c r="A15" s="1"/>
      <c r="B15" s="9"/>
      <c r="C15" s="9" t="s">
        <v>21</v>
      </c>
      <c r="D15" s="10">
        <f>+D11-I32</f>
        <v>84000</v>
      </c>
      <c r="F15" s="6">
        <v>46112</v>
      </c>
      <c r="G15" s="2"/>
      <c r="H15" s="2"/>
      <c r="I15" s="7">
        <v>10000</v>
      </c>
    </row>
    <row r="16" spans="1:12" ht="15.6" x14ac:dyDescent="0.3">
      <c r="F16" s="6">
        <v>46116</v>
      </c>
      <c r="G16" s="2"/>
      <c r="H16" s="2"/>
      <c r="I16" s="7">
        <v>10000</v>
      </c>
    </row>
    <row r="17" spans="4:9" ht="15.6" x14ac:dyDescent="0.3">
      <c r="D17" s="17"/>
      <c r="F17" s="6">
        <v>46126</v>
      </c>
      <c r="G17" s="2"/>
      <c r="H17" s="2"/>
      <c r="I17" s="7">
        <v>130000</v>
      </c>
    </row>
    <row r="18" spans="4:9" ht="15.6" x14ac:dyDescent="0.3">
      <c r="F18" s="6">
        <v>46137</v>
      </c>
      <c r="G18" s="2"/>
      <c r="H18" s="2"/>
      <c r="I18" s="7">
        <v>20000</v>
      </c>
    </row>
    <row r="19" spans="4:9" ht="15.6" x14ac:dyDescent="0.3">
      <c r="F19" s="6">
        <v>46143</v>
      </c>
      <c r="G19" s="2"/>
      <c r="H19" s="2"/>
      <c r="I19" s="7">
        <v>20000</v>
      </c>
    </row>
    <row r="20" spans="4:9" ht="15.6" x14ac:dyDescent="0.3">
      <c r="F20" s="6">
        <v>46151</v>
      </c>
      <c r="G20" s="2"/>
      <c r="H20" s="2"/>
      <c r="I20" s="7">
        <v>20000</v>
      </c>
    </row>
    <row r="21" spans="4:9" ht="15.6" x14ac:dyDescent="0.3">
      <c r="F21" s="6">
        <v>46159</v>
      </c>
      <c r="G21" s="2"/>
      <c r="H21" s="2"/>
      <c r="I21" s="7">
        <v>92000</v>
      </c>
    </row>
    <row r="22" spans="4:9" ht="15.6" x14ac:dyDescent="0.3">
      <c r="F22" s="6">
        <v>46161</v>
      </c>
      <c r="G22" s="2"/>
      <c r="H22" s="2"/>
      <c r="I22" s="7">
        <v>50000</v>
      </c>
    </row>
    <row r="23" spans="4:9" ht="15.6" x14ac:dyDescent="0.3">
      <c r="F23" s="6">
        <v>46168</v>
      </c>
      <c r="G23" s="2"/>
      <c r="H23" s="2"/>
      <c r="I23" s="7">
        <v>30000</v>
      </c>
    </row>
    <row r="24" spans="4:9" ht="15.6" x14ac:dyDescent="0.3">
      <c r="F24" s="6">
        <v>46179</v>
      </c>
      <c r="G24" s="2"/>
      <c r="H24" s="2"/>
      <c r="I24" s="7">
        <v>10000</v>
      </c>
    </row>
    <row r="25" spans="4:9" ht="15.6" x14ac:dyDescent="0.3">
      <c r="F25" s="6">
        <v>46183</v>
      </c>
      <c r="G25" s="2"/>
      <c r="H25" s="2"/>
      <c r="I25" s="7">
        <v>20000</v>
      </c>
    </row>
    <row r="26" spans="4:9" ht="15.6" x14ac:dyDescent="0.3">
      <c r="F26" s="6">
        <v>46196</v>
      </c>
      <c r="G26" s="2"/>
      <c r="H26" s="2"/>
      <c r="I26" s="7">
        <v>20000</v>
      </c>
    </row>
    <row r="27" spans="4:9" ht="15.6" x14ac:dyDescent="0.3">
      <c r="F27" s="6">
        <v>46198</v>
      </c>
      <c r="G27" s="7" t="s">
        <v>4</v>
      </c>
      <c r="H27" s="7"/>
      <c r="I27" s="7">
        <v>50000</v>
      </c>
    </row>
    <row r="28" spans="4:9" ht="15.6" x14ac:dyDescent="0.3">
      <c r="F28" s="6">
        <v>46203</v>
      </c>
      <c r="G28" s="7" t="s">
        <v>4</v>
      </c>
      <c r="H28" s="7"/>
      <c r="I28" s="7">
        <v>50000</v>
      </c>
    </row>
    <row r="29" spans="4:9" ht="15.6" x14ac:dyDescent="0.3">
      <c r="F29" s="6">
        <v>46205</v>
      </c>
      <c r="G29" s="7" t="s">
        <v>4</v>
      </c>
      <c r="H29" s="7"/>
      <c r="I29" s="7">
        <v>58000</v>
      </c>
    </row>
    <row r="30" spans="4:9" ht="15.6" x14ac:dyDescent="0.3">
      <c r="F30" s="6">
        <v>46220</v>
      </c>
      <c r="G30" s="7" t="s">
        <v>6</v>
      </c>
      <c r="H30" s="7"/>
      <c r="I30" s="7">
        <v>144000</v>
      </c>
    </row>
    <row r="31" spans="4:9" ht="15.6" x14ac:dyDescent="0.3">
      <c r="F31" s="6">
        <v>46236</v>
      </c>
      <c r="G31" s="7"/>
      <c r="H31" s="7"/>
      <c r="I31" s="7">
        <v>84000</v>
      </c>
    </row>
    <row r="32" spans="4:9" ht="15.6" x14ac:dyDescent="0.3">
      <c r="F32" s="38" t="s">
        <v>7</v>
      </c>
      <c r="G32" s="38"/>
      <c r="H32" s="38"/>
      <c r="I32" s="8">
        <f>+SUM(I3:I31)</f>
        <v>1262000</v>
      </c>
    </row>
  </sheetData>
  <mergeCells count="4">
    <mergeCell ref="A1:D1"/>
    <mergeCell ref="F1:I1"/>
    <mergeCell ref="K1:L1"/>
    <mergeCell ref="F32:H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6AF8-D78A-48DA-AC3B-DBE48B7DB76C}">
  <dimension ref="A1:K15"/>
  <sheetViews>
    <sheetView workbookViewId="0">
      <selection activeCell="E1" sqref="E1:H1"/>
    </sheetView>
  </sheetViews>
  <sheetFormatPr defaultRowHeight="14.4" x14ac:dyDescent="0.3"/>
  <cols>
    <col min="1" max="1" width="11.44140625" bestFit="1" customWidth="1"/>
    <col min="2" max="2" width="11.21875" customWidth="1"/>
    <col min="3" max="3" width="10.88671875" bestFit="1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106</v>
      </c>
      <c r="B1" s="39"/>
      <c r="C1" s="39"/>
      <c r="D1" s="1"/>
      <c r="E1" s="39" t="s">
        <v>106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6" t="s">
        <v>15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46157</v>
      </c>
      <c r="B3" s="19">
        <v>3</v>
      </c>
      <c r="C3" s="5">
        <f>+B3*7500</f>
        <v>22500</v>
      </c>
      <c r="D3" s="1"/>
      <c r="E3" s="6">
        <v>46161</v>
      </c>
      <c r="F3" s="2"/>
      <c r="G3" s="2"/>
      <c r="H3" s="7">
        <v>22500</v>
      </c>
      <c r="J3" s="14" t="s">
        <v>46</v>
      </c>
      <c r="K3" s="14">
        <v>7500</v>
      </c>
    </row>
    <row r="4" spans="1:11" ht="15.6" x14ac:dyDescent="0.3">
      <c r="A4" s="18">
        <v>46173</v>
      </c>
      <c r="B4" s="19">
        <v>3</v>
      </c>
      <c r="C4" s="5">
        <f>+B4*7000</f>
        <v>21000</v>
      </c>
      <c r="D4" s="1"/>
      <c r="E4" s="6">
        <v>46199</v>
      </c>
      <c r="F4" s="2"/>
      <c r="G4" s="2"/>
      <c r="H4" s="7">
        <v>10000</v>
      </c>
      <c r="J4" s="14" t="s">
        <v>57</v>
      </c>
      <c r="K4" s="14">
        <v>7000</v>
      </c>
    </row>
    <row r="5" spans="1:11" ht="15.6" x14ac:dyDescent="0.3">
      <c r="A5" s="18">
        <v>46203</v>
      </c>
      <c r="B5" s="19">
        <v>9</v>
      </c>
      <c r="C5" s="5">
        <f t="shared" ref="C5:C6" si="0">+B5*7000</f>
        <v>63000</v>
      </c>
      <c r="D5" s="1"/>
      <c r="E5" s="6">
        <v>46205</v>
      </c>
      <c r="F5" s="2"/>
      <c r="G5" s="2"/>
      <c r="H5" s="7">
        <v>74000</v>
      </c>
      <c r="J5" s="14" t="s">
        <v>57</v>
      </c>
      <c r="K5" s="14">
        <v>6500</v>
      </c>
    </row>
    <row r="6" spans="1:11" ht="15.6" x14ac:dyDescent="0.3">
      <c r="A6" s="18">
        <v>46204</v>
      </c>
      <c r="B6" s="19">
        <v>1</v>
      </c>
      <c r="C6" s="5">
        <f t="shared" si="0"/>
        <v>7000</v>
      </c>
      <c r="D6" s="1"/>
      <c r="E6" s="6">
        <v>46236</v>
      </c>
      <c r="F6" s="2"/>
      <c r="G6" s="2"/>
      <c r="H6" s="7">
        <v>111000</v>
      </c>
      <c r="J6" s="13"/>
      <c r="K6" s="13"/>
    </row>
    <row r="7" spans="1:11" ht="15.6" x14ac:dyDescent="0.3">
      <c r="A7" s="18">
        <v>46218</v>
      </c>
      <c r="B7" s="19">
        <v>5</v>
      </c>
      <c r="C7" s="5">
        <f>+B7*6500</f>
        <v>32500</v>
      </c>
      <c r="D7" s="1"/>
      <c r="E7" s="38" t="s">
        <v>7</v>
      </c>
      <c r="F7" s="38"/>
      <c r="G7" s="38"/>
      <c r="H7" s="8">
        <f>+SUM(H3:H6)</f>
        <v>217500</v>
      </c>
    </row>
    <row r="8" spans="1:11" ht="15.6" x14ac:dyDescent="0.3">
      <c r="A8" s="18">
        <v>46234</v>
      </c>
      <c r="B8" s="19">
        <v>11</v>
      </c>
      <c r="C8" s="5">
        <f>+B8*6500</f>
        <v>71500</v>
      </c>
      <c r="D8" s="1"/>
    </row>
    <row r="9" spans="1:11" ht="15.6" x14ac:dyDescent="0.3">
      <c r="A9" s="11" t="s">
        <v>7</v>
      </c>
      <c r="B9" s="22">
        <f>+SUM(B3:B8)</f>
        <v>32</v>
      </c>
      <c r="C9" s="8">
        <f>+SUM(C3:C8)</f>
        <v>217500</v>
      </c>
      <c r="D9" s="1"/>
    </row>
    <row r="10" spans="1:11" ht="15.6" x14ac:dyDescent="0.3">
      <c r="A10" s="1"/>
      <c r="B10" s="1"/>
      <c r="C10" s="1"/>
      <c r="D10" s="1"/>
    </row>
    <row r="11" spans="1:11" ht="15.6" x14ac:dyDescent="0.3">
      <c r="A11" s="1"/>
      <c r="B11" s="1"/>
      <c r="C11" s="1"/>
      <c r="D11" s="1"/>
    </row>
    <row r="12" spans="1:11" ht="15.6" x14ac:dyDescent="0.3">
      <c r="A12" s="1"/>
      <c r="B12" s="1"/>
      <c r="C12" s="1"/>
      <c r="D12" s="1"/>
    </row>
    <row r="13" spans="1:11" ht="15.6" x14ac:dyDescent="0.3">
      <c r="A13" s="1"/>
      <c r="B13" s="9" t="s">
        <v>21</v>
      </c>
      <c r="C13" s="10">
        <f>+C9-H7</f>
        <v>0</v>
      </c>
    </row>
    <row r="15" spans="1:11" x14ac:dyDescent="0.3">
      <c r="C15" s="17"/>
    </row>
  </sheetData>
  <mergeCells count="4">
    <mergeCell ref="A1:C1"/>
    <mergeCell ref="E1:H1"/>
    <mergeCell ref="J1:K1"/>
    <mergeCell ref="E7:G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CE9A-A324-4F82-A898-13173361E9B7}">
  <dimension ref="A1:L16"/>
  <sheetViews>
    <sheetView workbookViewId="0">
      <selection activeCell="I11" sqref="I11"/>
    </sheetView>
  </sheetViews>
  <sheetFormatPr defaultRowHeight="14.4" x14ac:dyDescent="0.3"/>
  <cols>
    <col min="1" max="1" width="11.44140625" bestFit="1" customWidth="1"/>
    <col min="2" max="2" width="11.44140625" customWidth="1"/>
    <col min="3" max="3" width="11.21875" customWidth="1"/>
    <col min="4" max="4" width="10.88671875" bestFit="1" customWidth="1"/>
    <col min="6" max="6" width="11.44140625" bestFit="1" customWidth="1"/>
    <col min="7" max="7" width="5.5546875" bestFit="1" customWidth="1"/>
    <col min="8" max="8" width="7.77734375" bestFit="1" customWidth="1"/>
    <col min="9" max="9" width="10.88671875" bestFit="1" customWidth="1"/>
    <col min="11" max="11" width="9.88671875" bestFit="1" customWidth="1"/>
    <col min="12" max="12" width="7" bestFit="1" customWidth="1"/>
  </cols>
  <sheetData>
    <row r="1" spans="1:12" ht="15.6" x14ac:dyDescent="0.3">
      <c r="A1" s="39" t="s">
        <v>99</v>
      </c>
      <c r="B1" s="39"/>
      <c r="C1" s="39"/>
      <c r="D1" s="39"/>
      <c r="E1" s="1"/>
      <c r="F1" s="39" t="s">
        <v>99</v>
      </c>
      <c r="G1" s="39"/>
      <c r="H1" s="39"/>
      <c r="I1" s="39"/>
      <c r="K1" s="39" t="s">
        <v>31</v>
      </c>
      <c r="L1" s="39"/>
    </row>
    <row r="2" spans="1:12" ht="15.6" x14ac:dyDescent="0.3">
      <c r="A2" s="12" t="s">
        <v>0</v>
      </c>
      <c r="B2" s="12" t="s">
        <v>58</v>
      </c>
      <c r="C2" s="16" t="s">
        <v>16</v>
      </c>
      <c r="D2" s="12" t="s">
        <v>1</v>
      </c>
      <c r="E2" s="1"/>
      <c r="F2" s="2" t="s">
        <v>0</v>
      </c>
      <c r="G2" s="2" t="s">
        <v>2</v>
      </c>
      <c r="H2" s="2" t="s">
        <v>3</v>
      </c>
      <c r="I2" s="2" t="s">
        <v>1</v>
      </c>
      <c r="K2" s="2" t="s">
        <v>22</v>
      </c>
      <c r="L2" s="2" t="s">
        <v>23</v>
      </c>
    </row>
    <row r="3" spans="1:12" ht="15.6" x14ac:dyDescent="0.3">
      <c r="A3" s="18">
        <v>46173</v>
      </c>
      <c r="B3" s="19">
        <v>3</v>
      </c>
      <c r="C3" s="19">
        <v>3</v>
      </c>
      <c r="D3" s="5">
        <f t="shared" ref="D3:D5" si="0">+B3*4500+C3*500</f>
        <v>15000</v>
      </c>
      <c r="E3" s="1"/>
      <c r="F3" s="6">
        <v>46198</v>
      </c>
      <c r="G3" s="7" t="s">
        <v>4</v>
      </c>
      <c r="H3" s="7"/>
      <c r="I3" s="7">
        <v>15000</v>
      </c>
      <c r="K3" s="14" t="s">
        <v>27</v>
      </c>
      <c r="L3" s="14">
        <v>4500</v>
      </c>
    </row>
    <row r="4" spans="1:12" ht="15.6" x14ac:dyDescent="0.3">
      <c r="A4" s="18">
        <v>46188</v>
      </c>
      <c r="B4" s="19">
        <v>6</v>
      </c>
      <c r="C4" s="19"/>
      <c r="D4" s="5">
        <f t="shared" si="0"/>
        <v>27000</v>
      </c>
      <c r="E4" s="1"/>
      <c r="F4" s="6">
        <v>46184</v>
      </c>
      <c r="G4" s="7" t="s">
        <v>4</v>
      </c>
      <c r="H4" s="7"/>
      <c r="I4" s="7">
        <v>39500</v>
      </c>
      <c r="K4" s="14" t="s">
        <v>26</v>
      </c>
      <c r="L4" s="14">
        <v>500</v>
      </c>
    </row>
    <row r="5" spans="1:12" ht="15.6" x14ac:dyDescent="0.3">
      <c r="A5" s="18">
        <v>46188</v>
      </c>
      <c r="B5" s="19">
        <v>3</v>
      </c>
      <c r="C5" s="19">
        <v>23</v>
      </c>
      <c r="D5" s="5">
        <f t="shared" si="0"/>
        <v>25000</v>
      </c>
      <c r="E5" s="1"/>
      <c r="F5" s="7"/>
      <c r="G5" s="7" t="s">
        <v>6</v>
      </c>
      <c r="H5" s="7"/>
      <c r="I5" s="7">
        <v>5000</v>
      </c>
      <c r="K5" s="14" t="s">
        <v>59</v>
      </c>
      <c r="L5" s="14">
        <v>300</v>
      </c>
    </row>
    <row r="6" spans="1:12" ht="15.6" x14ac:dyDescent="0.3">
      <c r="A6" s="18">
        <v>46188</v>
      </c>
      <c r="B6" s="19"/>
      <c r="C6" s="19">
        <v>2</v>
      </c>
      <c r="D6" s="5">
        <f>+C6*300</f>
        <v>600</v>
      </c>
      <c r="E6" s="1"/>
      <c r="F6" s="7"/>
      <c r="G6" s="7" t="s">
        <v>4</v>
      </c>
      <c r="H6" s="7"/>
      <c r="I6" s="7">
        <v>5000</v>
      </c>
      <c r="K6" s="14" t="s">
        <v>60</v>
      </c>
      <c r="L6" s="14">
        <v>4000</v>
      </c>
    </row>
    <row r="7" spans="1:12" ht="15.6" x14ac:dyDescent="0.3">
      <c r="A7" s="18">
        <v>46203</v>
      </c>
      <c r="B7" s="19">
        <v>2</v>
      </c>
      <c r="C7" s="19">
        <v>17</v>
      </c>
      <c r="D7" s="5">
        <f>+B7*4000+C7*500</f>
        <v>16500</v>
      </c>
      <c r="E7" s="1"/>
      <c r="F7" s="7"/>
      <c r="G7" s="7" t="s">
        <v>6</v>
      </c>
      <c r="H7" s="7"/>
      <c r="I7" s="7">
        <v>19600</v>
      </c>
    </row>
    <row r="8" spans="1:12" ht="15.6" x14ac:dyDescent="0.3">
      <c r="A8" s="18">
        <v>46218</v>
      </c>
      <c r="B8" s="19"/>
      <c r="C8" s="19">
        <v>35</v>
      </c>
      <c r="D8" s="5">
        <f t="shared" ref="D8:D9" si="1">+B8*4000+C8*500</f>
        <v>17500</v>
      </c>
      <c r="E8" s="1"/>
      <c r="F8" s="7"/>
      <c r="G8" s="7" t="s">
        <v>4</v>
      </c>
      <c r="H8" s="7"/>
      <c r="I8" s="7">
        <v>20000</v>
      </c>
    </row>
    <row r="9" spans="1:12" ht="15.6" x14ac:dyDescent="0.3">
      <c r="A9" s="18">
        <v>46234</v>
      </c>
      <c r="B9" s="19">
        <v>6</v>
      </c>
      <c r="C9" s="19">
        <v>28</v>
      </c>
      <c r="D9" s="5">
        <f t="shared" si="1"/>
        <v>38000</v>
      </c>
      <c r="E9" s="1"/>
      <c r="F9" s="7"/>
      <c r="G9" s="7" t="s">
        <v>6</v>
      </c>
      <c r="H9" s="7" t="s">
        <v>13</v>
      </c>
      <c r="I9" s="7">
        <v>10000</v>
      </c>
    </row>
    <row r="10" spans="1:12" ht="15.6" x14ac:dyDescent="0.3">
      <c r="A10" s="11" t="s">
        <v>7</v>
      </c>
      <c r="B10" s="22">
        <f>+SUM(B3:B9)</f>
        <v>20</v>
      </c>
      <c r="C10" s="22">
        <f>+SUM(C3:C9)</f>
        <v>108</v>
      </c>
      <c r="D10" s="8">
        <f>+SUM(D3:D9)</f>
        <v>139600</v>
      </c>
      <c r="E10" s="1"/>
      <c r="F10" s="6">
        <v>46238</v>
      </c>
      <c r="G10" s="7"/>
      <c r="H10" s="7"/>
      <c r="I10" s="7">
        <v>15000</v>
      </c>
    </row>
    <row r="11" spans="1:12" ht="15.6" x14ac:dyDescent="0.3">
      <c r="A11" s="1"/>
      <c r="B11" s="1"/>
      <c r="C11" s="1"/>
      <c r="D11" s="1"/>
      <c r="E11" s="1"/>
      <c r="F11" s="38" t="s">
        <v>7</v>
      </c>
      <c r="G11" s="38"/>
      <c r="H11" s="38"/>
      <c r="I11" s="8">
        <f>+SUM(I3:I10)</f>
        <v>129100</v>
      </c>
    </row>
    <row r="12" spans="1:12" ht="15.6" x14ac:dyDescent="0.3">
      <c r="A12" s="1"/>
      <c r="B12" s="1"/>
      <c r="C12" s="1"/>
      <c r="D12" s="1"/>
      <c r="E12" s="1"/>
    </row>
    <row r="13" spans="1:12" ht="15.6" x14ac:dyDescent="0.3">
      <c r="A13" s="1"/>
      <c r="B13" s="1"/>
      <c r="C13" s="1"/>
      <c r="D13" s="23"/>
    </row>
    <row r="14" spans="1:12" ht="15.6" x14ac:dyDescent="0.3">
      <c r="A14" s="1"/>
      <c r="B14" s="1"/>
      <c r="C14" s="9" t="s">
        <v>21</v>
      </c>
      <c r="D14" s="10">
        <f>+D10-I11</f>
        <v>10500</v>
      </c>
    </row>
    <row r="16" spans="1:12" x14ac:dyDescent="0.3">
      <c r="D16" s="17"/>
    </row>
  </sheetData>
  <mergeCells count="4">
    <mergeCell ref="A1:D1"/>
    <mergeCell ref="F1:I1"/>
    <mergeCell ref="K1:L1"/>
    <mergeCell ref="F11:H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F4CC-F0A9-4D60-8A36-46AB78CBAB50}">
  <dimension ref="A1:K12"/>
  <sheetViews>
    <sheetView workbookViewId="0">
      <selection activeCell="E6" sqref="E6:G6"/>
    </sheetView>
  </sheetViews>
  <sheetFormatPr defaultRowHeight="14.4" x14ac:dyDescent="0.3"/>
  <cols>
    <col min="1" max="1" width="11.44140625" bestFit="1" customWidth="1"/>
    <col min="2" max="2" width="11.44140625" customWidth="1"/>
    <col min="3" max="3" width="10.88671875" bestFit="1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61</v>
      </c>
      <c r="B1" s="39"/>
      <c r="C1" s="39"/>
      <c r="D1" s="1"/>
      <c r="E1" s="39" t="s">
        <v>61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58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46203</v>
      </c>
      <c r="B3" s="19">
        <v>7</v>
      </c>
      <c r="C3" s="5">
        <f>+B3*4500</f>
        <v>31500</v>
      </c>
      <c r="D3" s="1"/>
      <c r="E3" s="6">
        <v>46205</v>
      </c>
      <c r="F3" s="7" t="s">
        <v>4</v>
      </c>
      <c r="G3" s="7"/>
      <c r="H3" s="7">
        <v>31500</v>
      </c>
      <c r="J3" s="14" t="s">
        <v>27</v>
      </c>
      <c r="K3" s="14">
        <v>4500</v>
      </c>
    </row>
    <row r="4" spans="1:11" ht="15.6" x14ac:dyDescent="0.3">
      <c r="A4" s="18">
        <v>46218</v>
      </c>
      <c r="B4" s="19">
        <v>10</v>
      </c>
      <c r="C4" s="5">
        <f t="shared" ref="C4:C5" si="0">+B4*4000</f>
        <v>40000</v>
      </c>
      <c r="D4" s="1"/>
      <c r="E4" s="6"/>
      <c r="F4" s="7" t="s">
        <v>6</v>
      </c>
      <c r="G4" s="7" t="s">
        <v>13</v>
      </c>
      <c r="H4" s="7">
        <v>30000</v>
      </c>
      <c r="J4" s="14" t="s">
        <v>60</v>
      </c>
      <c r="K4" s="14">
        <v>4000</v>
      </c>
    </row>
    <row r="5" spans="1:11" ht="15.6" x14ac:dyDescent="0.3">
      <c r="A5" s="18">
        <v>46234</v>
      </c>
      <c r="B5" s="19">
        <v>11</v>
      </c>
      <c r="C5" s="5">
        <f t="shared" si="0"/>
        <v>44000</v>
      </c>
      <c r="D5" s="1"/>
      <c r="E5" s="6">
        <v>46237</v>
      </c>
      <c r="F5" s="7"/>
      <c r="G5" s="7"/>
      <c r="H5" s="7">
        <v>27000</v>
      </c>
    </row>
    <row r="6" spans="1:11" ht="15.6" x14ac:dyDescent="0.3">
      <c r="A6" s="11" t="s">
        <v>7</v>
      </c>
      <c r="B6" s="22">
        <f>+SUM(B3:B5)</f>
        <v>28</v>
      </c>
      <c r="C6" s="8">
        <f>+SUM(C3:C5)</f>
        <v>115500</v>
      </c>
      <c r="D6" s="1"/>
      <c r="E6" s="38" t="s">
        <v>7</v>
      </c>
      <c r="F6" s="38"/>
      <c r="G6" s="38"/>
      <c r="H6" s="8">
        <f>+SUM(H3:H5)</f>
        <v>88500</v>
      </c>
    </row>
    <row r="7" spans="1:11" ht="15.6" x14ac:dyDescent="0.3">
      <c r="A7" s="1"/>
      <c r="B7" s="1"/>
      <c r="C7" s="1"/>
      <c r="D7" s="1"/>
    </row>
    <row r="8" spans="1:11" ht="15.6" x14ac:dyDescent="0.3">
      <c r="A8" s="1"/>
      <c r="B8" s="1"/>
      <c r="C8" s="1"/>
      <c r="D8" s="1"/>
    </row>
    <row r="9" spans="1:11" ht="15.6" x14ac:dyDescent="0.3">
      <c r="A9" s="1"/>
      <c r="B9" s="1"/>
      <c r="C9" s="23"/>
      <c r="D9" s="1"/>
    </row>
    <row r="10" spans="1:11" ht="15.6" x14ac:dyDescent="0.3">
      <c r="A10" s="1"/>
      <c r="B10" s="1" t="s">
        <v>21</v>
      </c>
      <c r="C10" s="10">
        <f>+C6-H6</f>
        <v>27000</v>
      </c>
      <c r="D10" s="1"/>
    </row>
    <row r="11" spans="1:11" ht="15.6" x14ac:dyDescent="0.3">
      <c r="D11" s="1"/>
    </row>
    <row r="12" spans="1:11" ht="15.6" x14ac:dyDescent="0.3">
      <c r="C12" s="17"/>
      <c r="D12" s="1"/>
    </row>
  </sheetData>
  <mergeCells count="4">
    <mergeCell ref="A1:C1"/>
    <mergeCell ref="E1:H1"/>
    <mergeCell ref="J1:K1"/>
    <mergeCell ref="E6:G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B2DB-E4D6-4083-8C84-5F15ED29BD70}">
  <dimension ref="A1:K11"/>
  <sheetViews>
    <sheetView workbookViewId="0">
      <selection activeCell="H7" sqref="H7"/>
    </sheetView>
  </sheetViews>
  <sheetFormatPr defaultRowHeight="14.4" x14ac:dyDescent="0.3"/>
  <cols>
    <col min="1" max="1" width="11.44140625" bestFit="1" customWidth="1"/>
    <col min="2" max="2" width="11.44140625" customWidth="1"/>
    <col min="3" max="3" width="10.88671875" bestFit="1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62</v>
      </c>
      <c r="B1" s="39"/>
      <c r="C1" s="39"/>
      <c r="D1" s="1"/>
      <c r="E1" s="39" t="s">
        <v>62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19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46218</v>
      </c>
      <c r="B3" s="19">
        <v>15</v>
      </c>
      <c r="C3" s="5">
        <f>+B3*2500</f>
        <v>37500</v>
      </c>
      <c r="D3" s="1"/>
      <c r="E3" s="2"/>
      <c r="F3" s="2"/>
      <c r="G3" s="7" t="s">
        <v>42</v>
      </c>
      <c r="H3" s="7">
        <v>3000</v>
      </c>
      <c r="J3" s="14" t="s">
        <v>47</v>
      </c>
      <c r="K3" s="14">
        <v>2500</v>
      </c>
    </row>
    <row r="4" spans="1:11" ht="15.6" x14ac:dyDescent="0.3">
      <c r="A4" s="18">
        <v>46234</v>
      </c>
      <c r="B4" s="19">
        <v>13</v>
      </c>
      <c r="C4" s="5">
        <f>+B4*2500</f>
        <v>32500</v>
      </c>
      <c r="D4" s="1"/>
      <c r="E4" s="6">
        <v>46205</v>
      </c>
      <c r="F4" s="7" t="s">
        <v>6</v>
      </c>
      <c r="G4" s="7" t="s">
        <v>13</v>
      </c>
      <c r="H4" s="7">
        <v>24000</v>
      </c>
    </row>
    <row r="5" spans="1:11" ht="15.6" x14ac:dyDescent="0.3">
      <c r="A5" s="11" t="s">
        <v>7</v>
      </c>
      <c r="B5" s="22">
        <f>+SUM(B3:B4)</f>
        <v>28</v>
      </c>
      <c r="C5" s="8">
        <f>+SUM(C3:C4)</f>
        <v>70000</v>
      </c>
      <c r="D5" s="1"/>
      <c r="E5" s="6"/>
      <c r="F5" s="7" t="s">
        <v>6</v>
      </c>
      <c r="G5" s="7" t="s">
        <v>13</v>
      </c>
      <c r="H5" s="7">
        <v>10500</v>
      </c>
    </row>
    <row r="6" spans="1:11" ht="15.6" x14ac:dyDescent="0.3">
      <c r="A6" s="1"/>
      <c r="B6" s="1"/>
      <c r="C6" s="1"/>
      <c r="D6" s="1"/>
      <c r="E6" s="6">
        <v>46239</v>
      </c>
      <c r="F6" s="7"/>
      <c r="G6" s="7"/>
      <c r="H6" s="7">
        <v>16250</v>
      </c>
    </row>
    <row r="7" spans="1:11" ht="15.6" x14ac:dyDescent="0.3">
      <c r="A7" s="1"/>
      <c r="B7" s="1"/>
      <c r="C7" s="1"/>
      <c r="D7" s="1"/>
      <c r="E7" s="38" t="s">
        <v>7</v>
      </c>
      <c r="F7" s="38"/>
      <c r="G7" s="38"/>
      <c r="H7" s="8">
        <f>+SUM(H3:H6)</f>
        <v>53750</v>
      </c>
    </row>
    <row r="8" spans="1:11" ht="15.6" x14ac:dyDescent="0.3">
      <c r="A8" s="1"/>
      <c r="B8" s="1"/>
      <c r="C8" s="23"/>
      <c r="D8" s="1"/>
    </row>
    <row r="9" spans="1:11" ht="15.6" x14ac:dyDescent="0.3">
      <c r="A9" s="1"/>
      <c r="B9" s="1" t="s">
        <v>21</v>
      </c>
      <c r="C9" s="10">
        <f>+C5-H7</f>
        <v>16250</v>
      </c>
      <c r="D9" s="1"/>
    </row>
    <row r="10" spans="1:11" ht="15.6" x14ac:dyDescent="0.3">
      <c r="D10" s="1"/>
    </row>
    <row r="11" spans="1:11" ht="15.6" x14ac:dyDescent="0.3">
      <c r="C11" s="17"/>
      <c r="D11" s="1"/>
    </row>
  </sheetData>
  <mergeCells count="4">
    <mergeCell ref="A1:C1"/>
    <mergeCell ref="E1:H1"/>
    <mergeCell ref="J1:K1"/>
    <mergeCell ref="E7:G7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1D98-65C0-4C88-85F6-49CBC84C360A}">
  <dimension ref="A1:L12"/>
  <sheetViews>
    <sheetView workbookViewId="0">
      <selection activeCell="F7" sqref="F7:H7"/>
    </sheetView>
  </sheetViews>
  <sheetFormatPr defaultRowHeight="14.4" x14ac:dyDescent="0.3"/>
  <cols>
    <col min="1" max="1" width="11.44140625" bestFit="1" customWidth="1"/>
    <col min="2" max="2" width="8.109375" customWidth="1"/>
    <col min="3" max="3" width="7.21875" customWidth="1"/>
    <col min="4" max="4" width="10.88671875" bestFit="1" customWidth="1"/>
    <col min="6" max="6" width="11.44140625" bestFit="1" customWidth="1"/>
    <col min="7" max="7" width="5.5546875" bestFit="1" customWidth="1"/>
    <col min="8" max="8" width="7.77734375" bestFit="1" customWidth="1"/>
    <col min="9" max="9" width="10.88671875" bestFit="1" customWidth="1"/>
    <col min="11" max="11" width="9.88671875" bestFit="1" customWidth="1"/>
    <col min="12" max="12" width="7" bestFit="1" customWidth="1"/>
  </cols>
  <sheetData>
    <row r="1" spans="1:12" ht="15.6" x14ac:dyDescent="0.3">
      <c r="A1" s="39" t="s">
        <v>62</v>
      </c>
      <c r="B1" s="39"/>
      <c r="C1" s="39"/>
      <c r="D1" s="39"/>
      <c r="E1" s="1"/>
      <c r="F1" s="39" t="s">
        <v>62</v>
      </c>
      <c r="G1" s="39"/>
      <c r="H1" s="39"/>
      <c r="I1" s="39"/>
      <c r="K1" s="39" t="s">
        <v>31</v>
      </c>
      <c r="L1" s="39"/>
    </row>
    <row r="2" spans="1:12" ht="15.6" x14ac:dyDescent="0.3">
      <c r="A2" s="12" t="s">
        <v>0</v>
      </c>
      <c r="B2" s="12" t="s">
        <v>14</v>
      </c>
      <c r="C2" s="12" t="s">
        <v>63</v>
      </c>
      <c r="D2" s="12" t="s">
        <v>1</v>
      </c>
      <c r="E2" s="1"/>
      <c r="F2" s="2" t="s">
        <v>0</v>
      </c>
      <c r="G2" s="2" t="s">
        <v>2</v>
      </c>
      <c r="H2" s="2" t="s">
        <v>3</v>
      </c>
      <c r="I2" s="2" t="s">
        <v>1</v>
      </c>
      <c r="K2" s="2" t="s">
        <v>22</v>
      </c>
      <c r="L2" s="2" t="s">
        <v>23</v>
      </c>
    </row>
    <row r="3" spans="1:12" ht="15.6" x14ac:dyDescent="0.3">
      <c r="A3" s="18">
        <v>46203</v>
      </c>
      <c r="B3" s="19">
        <v>2</v>
      </c>
      <c r="C3" s="19">
        <v>2</v>
      </c>
      <c r="D3" s="5">
        <f>+C3*16750</f>
        <v>33500</v>
      </c>
      <c r="E3" s="1"/>
      <c r="F3" s="6">
        <v>46186</v>
      </c>
      <c r="G3" s="7" t="s">
        <v>4</v>
      </c>
      <c r="H3" s="7" t="s">
        <v>5</v>
      </c>
      <c r="I3" s="7">
        <v>52500</v>
      </c>
      <c r="K3" s="14" t="s">
        <v>24</v>
      </c>
      <c r="L3" s="14">
        <v>12000</v>
      </c>
    </row>
    <row r="4" spans="1:12" ht="15.6" x14ac:dyDescent="0.3">
      <c r="A4" s="18">
        <v>46203</v>
      </c>
      <c r="B4" s="19">
        <v>3</v>
      </c>
      <c r="C4" s="19">
        <v>3</v>
      </c>
      <c r="D4" s="5">
        <f>+B4*12000+C4*7000</f>
        <v>57000</v>
      </c>
      <c r="E4" s="1"/>
      <c r="F4" s="6">
        <v>46204</v>
      </c>
      <c r="G4" s="7" t="s">
        <v>6</v>
      </c>
      <c r="H4" s="7" t="s">
        <v>42</v>
      </c>
      <c r="I4" s="7">
        <v>1850</v>
      </c>
      <c r="K4" s="14" t="s">
        <v>64</v>
      </c>
      <c r="L4" s="14">
        <v>7000</v>
      </c>
    </row>
    <row r="5" spans="1:12" ht="15.6" x14ac:dyDescent="0.3">
      <c r="A5" s="18">
        <v>46218</v>
      </c>
      <c r="B5" s="19">
        <v>3</v>
      </c>
      <c r="C5" s="19">
        <v>3</v>
      </c>
      <c r="D5" s="5">
        <f>+B5*12000+C5*7000</f>
        <v>57000</v>
      </c>
      <c r="E5" s="1"/>
      <c r="F5" s="6">
        <v>46203</v>
      </c>
      <c r="G5" s="7" t="s">
        <v>4</v>
      </c>
      <c r="H5" s="7" t="s">
        <v>5</v>
      </c>
      <c r="I5" s="7">
        <v>38000</v>
      </c>
    </row>
    <row r="6" spans="1:12" ht="15.6" x14ac:dyDescent="0.3">
      <c r="A6" s="11" t="s">
        <v>7</v>
      </c>
      <c r="B6" s="22">
        <f>+SUM(B3:B5)</f>
        <v>8</v>
      </c>
      <c r="C6" s="22">
        <f>+SUM(C3:C5)</f>
        <v>8</v>
      </c>
      <c r="D6" s="8">
        <f>+SUM(D3:D5)</f>
        <v>147500</v>
      </c>
      <c r="E6" s="1"/>
      <c r="F6" s="6">
        <v>46220</v>
      </c>
      <c r="G6" s="7" t="s">
        <v>6</v>
      </c>
      <c r="H6" s="7" t="s">
        <v>13</v>
      </c>
      <c r="I6" s="7">
        <v>36150</v>
      </c>
    </row>
    <row r="7" spans="1:12" ht="15.6" x14ac:dyDescent="0.3">
      <c r="A7" s="1"/>
      <c r="B7" s="1"/>
      <c r="C7" s="1"/>
      <c r="D7" s="1"/>
      <c r="E7" s="1"/>
      <c r="F7" s="38" t="s">
        <v>7</v>
      </c>
      <c r="G7" s="38"/>
      <c r="H7" s="38"/>
      <c r="I7" s="8">
        <f>+SUM(I3:I6)</f>
        <v>128500</v>
      </c>
    </row>
    <row r="8" spans="1:12" ht="15.6" x14ac:dyDescent="0.3">
      <c r="A8" s="1"/>
      <c r="B8" s="1"/>
      <c r="C8" s="1"/>
      <c r="D8" s="1"/>
      <c r="E8" s="1"/>
    </row>
    <row r="9" spans="1:12" ht="15.6" x14ac:dyDescent="0.3">
      <c r="A9" s="1"/>
      <c r="B9" s="1"/>
      <c r="C9" s="1"/>
      <c r="D9" s="23"/>
      <c r="E9" s="1"/>
    </row>
    <row r="10" spans="1:12" ht="15.6" x14ac:dyDescent="0.3">
      <c r="A10" s="1"/>
      <c r="B10" s="1" t="s">
        <v>21</v>
      </c>
      <c r="C10" s="1"/>
      <c r="D10" s="10">
        <f>+D6-I7</f>
        <v>19000</v>
      </c>
      <c r="E10" s="1"/>
    </row>
    <row r="11" spans="1:12" ht="15.6" x14ac:dyDescent="0.3">
      <c r="E11" s="1"/>
    </row>
    <row r="12" spans="1:12" x14ac:dyDescent="0.3">
      <c r="D12" s="17"/>
    </row>
  </sheetData>
  <mergeCells count="4">
    <mergeCell ref="A1:D1"/>
    <mergeCell ref="F1:I1"/>
    <mergeCell ref="K1:L1"/>
    <mergeCell ref="F7:H7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4056-8AD5-4339-B90D-1B825F8EDEF3}">
  <dimension ref="A1:K12"/>
  <sheetViews>
    <sheetView workbookViewId="0">
      <selection activeCell="H10" sqref="H10"/>
    </sheetView>
  </sheetViews>
  <sheetFormatPr defaultRowHeight="14.4" x14ac:dyDescent="0.3"/>
  <cols>
    <col min="1" max="1" width="11.44140625" bestFit="1" customWidth="1"/>
    <col min="2" max="2" width="8.33203125" customWidth="1"/>
    <col min="3" max="3" width="10.88671875" bestFit="1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65</v>
      </c>
      <c r="B1" s="39"/>
      <c r="C1" s="39"/>
      <c r="D1" s="1"/>
      <c r="E1" s="39" t="s">
        <v>65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20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46203</v>
      </c>
      <c r="B3" s="24">
        <v>10</v>
      </c>
      <c r="C3" s="5">
        <f>+B3*6000</f>
        <v>60000</v>
      </c>
      <c r="D3" s="1"/>
      <c r="E3" s="2"/>
      <c r="F3" s="7" t="s">
        <v>4</v>
      </c>
      <c r="G3" s="2"/>
      <c r="H3" s="7">
        <v>2000</v>
      </c>
      <c r="J3" s="14" t="s">
        <v>30</v>
      </c>
      <c r="K3" s="14">
        <v>6000</v>
      </c>
    </row>
    <row r="4" spans="1:11" ht="15.6" x14ac:dyDescent="0.3">
      <c r="A4" s="18">
        <v>46218</v>
      </c>
      <c r="B4" s="19">
        <v>13</v>
      </c>
      <c r="C4" s="5">
        <f t="shared" ref="C4:C5" si="0">+B4*6000</f>
        <v>78000</v>
      </c>
      <c r="D4" s="1"/>
      <c r="E4" s="2"/>
      <c r="F4" s="7" t="s">
        <v>4</v>
      </c>
      <c r="G4" s="2"/>
      <c r="H4" s="7">
        <v>19200</v>
      </c>
    </row>
    <row r="5" spans="1:11" ht="15.6" x14ac:dyDescent="0.3">
      <c r="A5" s="18">
        <v>46234</v>
      </c>
      <c r="B5" s="19">
        <v>10</v>
      </c>
      <c r="C5" s="5">
        <f t="shared" si="0"/>
        <v>60000</v>
      </c>
      <c r="D5" s="1"/>
      <c r="E5" s="2"/>
      <c r="F5" s="7" t="s">
        <v>6</v>
      </c>
      <c r="G5" s="2"/>
      <c r="H5" s="7">
        <v>2800</v>
      </c>
    </row>
    <row r="6" spans="1:11" ht="15.6" x14ac:dyDescent="0.3">
      <c r="A6" s="11" t="s">
        <v>7</v>
      </c>
      <c r="B6" s="22">
        <f>+SUM(B3:B5)</f>
        <v>33</v>
      </c>
      <c r="C6" s="22">
        <f>+SUM(C3:C5)</f>
        <v>198000</v>
      </c>
      <c r="D6" s="1"/>
      <c r="E6" s="6">
        <v>46205</v>
      </c>
      <c r="F6" s="7" t="s">
        <v>4</v>
      </c>
      <c r="G6" s="2"/>
      <c r="H6" s="7">
        <v>36000</v>
      </c>
    </row>
    <row r="7" spans="1:11" ht="15.6" x14ac:dyDescent="0.3">
      <c r="A7" s="1"/>
      <c r="B7" s="1"/>
      <c r="C7" s="1"/>
      <c r="D7" s="1"/>
      <c r="E7" s="2"/>
      <c r="F7" s="7" t="s">
        <v>4</v>
      </c>
      <c r="G7" s="2"/>
      <c r="H7" s="7">
        <v>1000</v>
      </c>
    </row>
    <row r="8" spans="1:11" ht="15.6" x14ac:dyDescent="0.3">
      <c r="A8" s="1"/>
      <c r="B8" s="1"/>
      <c r="C8" s="1"/>
      <c r="D8" s="1"/>
      <c r="E8" s="2"/>
      <c r="F8" s="7" t="s">
        <v>6</v>
      </c>
      <c r="G8" s="2"/>
      <c r="H8" s="7">
        <v>50000</v>
      </c>
    </row>
    <row r="9" spans="1:11" ht="15.6" x14ac:dyDescent="0.3">
      <c r="A9" s="1"/>
      <c r="B9" s="1"/>
      <c r="C9" s="23"/>
      <c r="D9" s="1"/>
      <c r="E9" s="2"/>
      <c r="F9" s="7" t="s">
        <v>4</v>
      </c>
      <c r="G9" s="7" t="s">
        <v>13</v>
      </c>
      <c r="H9" s="7">
        <v>3000</v>
      </c>
    </row>
    <row r="10" spans="1:11" ht="15.6" x14ac:dyDescent="0.3">
      <c r="A10" s="1"/>
      <c r="B10" s="1" t="s">
        <v>21</v>
      </c>
      <c r="C10" s="10">
        <f>+C6-H11</f>
        <v>42000</v>
      </c>
      <c r="D10" s="1"/>
      <c r="E10" s="6">
        <v>46236</v>
      </c>
      <c r="F10" s="7"/>
      <c r="G10" s="7"/>
      <c r="H10" s="7">
        <v>42000</v>
      </c>
    </row>
    <row r="11" spans="1:11" ht="15.6" x14ac:dyDescent="0.3">
      <c r="D11" s="1"/>
      <c r="E11" s="38" t="s">
        <v>7</v>
      </c>
      <c r="F11" s="38"/>
      <c r="G11" s="38"/>
      <c r="H11" s="8">
        <f>+SUM(H3:H10)</f>
        <v>156000</v>
      </c>
    </row>
    <row r="12" spans="1:11" ht="15.6" x14ac:dyDescent="0.3">
      <c r="C12" s="17"/>
      <c r="D12" s="1"/>
    </row>
  </sheetData>
  <mergeCells count="4">
    <mergeCell ref="A1:C1"/>
    <mergeCell ref="E1:H1"/>
    <mergeCell ref="J1:K1"/>
    <mergeCell ref="E11:G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DA08-72A0-497B-8CD6-98F93AEE7672}">
  <dimension ref="A1:K10"/>
  <sheetViews>
    <sheetView workbookViewId="0">
      <selection activeCell="C8" sqref="C8"/>
    </sheetView>
  </sheetViews>
  <sheetFormatPr defaultRowHeight="14.4" x14ac:dyDescent="0.3"/>
  <cols>
    <col min="1" max="1" width="11.44140625" bestFit="1" customWidth="1"/>
    <col min="2" max="2" width="8.33203125" customWidth="1"/>
    <col min="3" max="3" width="13.109375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66</v>
      </c>
      <c r="B1" s="39"/>
      <c r="C1" s="39"/>
      <c r="D1" s="1"/>
      <c r="E1" s="39" t="s">
        <v>66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19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46234</v>
      </c>
      <c r="B3" s="19">
        <v>17</v>
      </c>
      <c r="C3" s="5">
        <f>+B3*2500</f>
        <v>42500</v>
      </c>
      <c r="D3" s="1"/>
      <c r="E3" s="6">
        <v>46220</v>
      </c>
      <c r="F3" s="7" t="s">
        <v>6</v>
      </c>
      <c r="G3" s="7" t="s">
        <v>13</v>
      </c>
      <c r="H3" s="7">
        <v>20000</v>
      </c>
      <c r="J3" s="14" t="s">
        <v>47</v>
      </c>
      <c r="K3" s="14">
        <v>2500</v>
      </c>
    </row>
    <row r="4" spans="1:11" ht="15.6" x14ac:dyDescent="0.3">
      <c r="A4" s="11" t="s">
        <v>7</v>
      </c>
      <c r="B4" s="22">
        <f>+SUM(B3:B3)</f>
        <v>17</v>
      </c>
      <c r="C4" s="8">
        <f>+SUM(C3:C3)</f>
        <v>42500</v>
      </c>
      <c r="D4" s="1"/>
      <c r="E4" s="6"/>
      <c r="F4" s="7" t="s">
        <v>6</v>
      </c>
      <c r="G4" s="7" t="s">
        <v>13</v>
      </c>
      <c r="H4" s="7">
        <v>5000</v>
      </c>
    </row>
    <row r="5" spans="1:11" ht="15.6" x14ac:dyDescent="0.3">
      <c r="A5" s="1"/>
      <c r="B5" s="1"/>
      <c r="C5" s="1"/>
      <c r="D5" s="1"/>
      <c r="E5" s="6">
        <v>46238</v>
      </c>
      <c r="F5" s="7"/>
      <c r="G5" s="7"/>
      <c r="H5" s="7">
        <v>8250</v>
      </c>
    </row>
    <row r="6" spans="1:11" ht="15.6" x14ac:dyDescent="0.3">
      <c r="A6" s="1"/>
      <c r="B6" s="1"/>
      <c r="C6" s="1"/>
      <c r="D6" s="1"/>
      <c r="E6" s="38" t="s">
        <v>7</v>
      </c>
      <c r="F6" s="38"/>
      <c r="G6" s="38"/>
      <c r="H6" s="8">
        <f>+SUM(H3:H5)</f>
        <v>33250</v>
      </c>
    </row>
    <row r="7" spans="1:11" ht="15.6" x14ac:dyDescent="0.3">
      <c r="A7" s="1"/>
      <c r="B7" s="1"/>
      <c r="C7" s="23"/>
      <c r="D7" s="1"/>
    </row>
    <row r="8" spans="1:11" ht="15.6" x14ac:dyDescent="0.3">
      <c r="A8" s="1" t="s">
        <v>21</v>
      </c>
      <c r="B8" s="1"/>
      <c r="C8" s="10">
        <f>+C4-H6</f>
        <v>9250</v>
      </c>
      <c r="D8" s="1"/>
    </row>
    <row r="9" spans="1:11" ht="15.6" x14ac:dyDescent="0.3">
      <c r="D9" s="1"/>
    </row>
    <row r="10" spans="1:11" ht="15.6" x14ac:dyDescent="0.3">
      <c r="C10" s="17"/>
      <c r="D10" s="1"/>
    </row>
  </sheetData>
  <mergeCells count="4">
    <mergeCell ref="A1:C1"/>
    <mergeCell ref="E1:H1"/>
    <mergeCell ref="J1:K1"/>
    <mergeCell ref="E6:G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D6CF-35A3-4B8F-B72A-FC164F205E1B}">
  <dimension ref="A1:K10"/>
  <sheetViews>
    <sheetView workbookViewId="0">
      <selection activeCell="E3" sqref="E3"/>
    </sheetView>
  </sheetViews>
  <sheetFormatPr defaultRowHeight="14.4" x14ac:dyDescent="0.3"/>
  <cols>
    <col min="1" max="1" width="11.44140625" bestFit="1" customWidth="1"/>
    <col min="2" max="2" width="8.33203125" customWidth="1"/>
    <col min="3" max="3" width="15.33203125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67</v>
      </c>
      <c r="B1" s="39"/>
      <c r="C1" s="39"/>
      <c r="D1" s="1"/>
      <c r="E1" s="39" t="s">
        <v>67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58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46234</v>
      </c>
      <c r="B3" s="19">
        <v>16</v>
      </c>
      <c r="C3" s="5">
        <f>+B3*3500</f>
        <v>56000</v>
      </c>
      <c r="D3" s="1"/>
      <c r="E3" s="6">
        <v>46237</v>
      </c>
      <c r="F3" s="7"/>
      <c r="G3" s="2"/>
      <c r="H3" s="7">
        <v>28000</v>
      </c>
      <c r="J3" s="14" t="s">
        <v>27</v>
      </c>
      <c r="K3" s="14">
        <v>3500</v>
      </c>
    </row>
    <row r="4" spans="1:11" ht="15.6" x14ac:dyDescent="0.3">
      <c r="A4" s="11" t="s">
        <v>7</v>
      </c>
      <c r="B4" s="22">
        <f>+SUM(B3:B3)</f>
        <v>16</v>
      </c>
      <c r="C4" s="22">
        <f>+SUM(C3:C3)</f>
        <v>56000</v>
      </c>
      <c r="D4" s="1"/>
      <c r="E4" s="2"/>
      <c r="F4" s="7"/>
      <c r="G4" s="2"/>
      <c r="H4" s="7"/>
    </row>
    <row r="5" spans="1:11" ht="15.6" x14ac:dyDescent="0.3">
      <c r="A5" s="1"/>
      <c r="B5" s="1"/>
      <c r="C5" s="1"/>
      <c r="D5" s="1"/>
      <c r="E5" s="6"/>
      <c r="F5" s="7"/>
      <c r="G5" s="7"/>
      <c r="H5" s="7"/>
    </row>
    <row r="6" spans="1:11" ht="15.6" x14ac:dyDescent="0.3">
      <c r="A6" s="1"/>
      <c r="B6" s="1"/>
      <c r="C6" s="1"/>
      <c r="D6" s="1"/>
      <c r="E6" s="38" t="s">
        <v>7</v>
      </c>
      <c r="F6" s="38"/>
      <c r="G6" s="38"/>
      <c r="H6" s="8">
        <f>+SUM(H3:H5)</f>
        <v>28000</v>
      </c>
    </row>
    <row r="7" spans="1:11" ht="15.6" x14ac:dyDescent="0.3">
      <c r="A7" s="1"/>
      <c r="B7" s="1"/>
      <c r="C7" s="23"/>
      <c r="D7" s="1"/>
    </row>
    <row r="8" spans="1:11" ht="15.6" x14ac:dyDescent="0.3">
      <c r="A8" s="1" t="s">
        <v>21</v>
      </c>
      <c r="B8" s="1"/>
      <c r="C8" s="10">
        <f>+C4-H6</f>
        <v>28000</v>
      </c>
      <c r="D8" s="1"/>
    </row>
    <row r="9" spans="1:11" ht="15.6" x14ac:dyDescent="0.3">
      <c r="D9" s="1"/>
    </row>
    <row r="10" spans="1:11" ht="15.6" x14ac:dyDescent="0.3">
      <c r="C10" s="17"/>
      <c r="D10" s="1"/>
    </row>
  </sheetData>
  <mergeCells count="4">
    <mergeCell ref="A1:C1"/>
    <mergeCell ref="E1:H1"/>
    <mergeCell ref="J1:K1"/>
    <mergeCell ref="E6:G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45CB-570D-48B9-978F-5D388AF6670A}">
  <dimension ref="A1:K10"/>
  <sheetViews>
    <sheetView workbookViewId="0">
      <selection sqref="A1:XFD1048576"/>
    </sheetView>
  </sheetViews>
  <sheetFormatPr defaultRowHeight="14.4" x14ac:dyDescent="0.3"/>
  <cols>
    <col min="1" max="1" width="11.44140625" bestFit="1" customWidth="1"/>
    <col min="2" max="2" width="8.33203125" customWidth="1"/>
    <col min="3" max="3" width="15.33203125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68</v>
      </c>
      <c r="B1" s="39"/>
      <c r="C1" s="39"/>
      <c r="D1" s="1"/>
      <c r="E1" s="39" t="s">
        <v>68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19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46234</v>
      </c>
      <c r="B3" s="19">
        <v>16</v>
      </c>
      <c r="C3" s="5">
        <f>+B3*2500</f>
        <v>40000</v>
      </c>
      <c r="D3" s="1"/>
      <c r="E3" s="6"/>
      <c r="F3" s="7"/>
      <c r="G3" s="7"/>
      <c r="H3" s="7"/>
      <c r="J3" s="14" t="s">
        <v>47</v>
      </c>
      <c r="K3" s="14">
        <v>2500</v>
      </c>
    </row>
    <row r="4" spans="1:11" ht="15.6" x14ac:dyDescent="0.3">
      <c r="A4" s="11" t="s">
        <v>7</v>
      </c>
      <c r="B4" s="22">
        <f>+SUM(B3:B3)</f>
        <v>16</v>
      </c>
      <c r="C4" s="22">
        <f>+SUM(C3:C3)</f>
        <v>40000</v>
      </c>
      <c r="D4" s="1"/>
      <c r="E4" s="38" t="s">
        <v>7</v>
      </c>
      <c r="F4" s="38"/>
      <c r="G4" s="38"/>
      <c r="H4" s="8">
        <f>+SUM(H3:H3)</f>
        <v>0</v>
      </c>
    </row>
    <row r="5" spans="1:11" ht="15.6" x14ac:dyDescent="0.3">
      <c r="A5" s="1"/>
      <c r="B5" s="1"/>
      <c r="C5" s="1"/>
      <c r="D5" s="1"/>
    </row>
    <row r="6" spans="1:11" ht="15.6" x14ac:dyDescent="0.3">
      <c r="A6" s="1"/>
      <c r="B6" s="1"/>
      <c r="C6" s="1"/>
      <c r="D6" s="1"/>
    </row>
    <row r="7" spans="1:11" ht="15.6" x14ac:dyDescent="0.3">
      <c r="A7" s="1"/>
      <c r="B7" s="1"/>
      <c r="C7" s="23"/>
      <c r="D7" s="1"/>
    </row>
    <row r="8" spans="1:11" ht="15.6" x14ac:dyDescent="0.3">
      <c r="A8" s="1" t="s">
        <v>21</v>
      </c>
      <c r="B8" s="1"/>
      <c r="C8" s="10">
        <f>+C4-H4</f>
        <v>40000</v>
      </c>
      <c r="D8" s="1"/>
    </row>
    <row r="9" spans="1:11" ht="15.6" x14ac:dyDescent="0.3">
      <c r="D9" s="1"/>
    </row>
    <row r="10" spans="1:11" ht="15.6" x14ac:dyDescent="0.3">
      <c r="C10" s="17"/>
      <c r="D10" s="1"/>
    </row>
  </sheetData>
  <mergeCells count="4">
    <mergeCell ref="A1:C1"/>
    <mergeCell ref="E1:H1"/>
    <mergeCell ref="J1:K1"/>
    <mergeCell ref="E4:G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7521-4CDA-4B06-AF64-F66DA1990F7C}">
  <dimension ref="A1:K10"/>
  <sheetViews>
    <sheetView workbookViewId="0">
      <selection activeCell="C4" sqref="C4"/>
    </sheetView>
  </sheetViews>
  <sheetFormatPr defaultRowHeight="14.4" x14ac:dyDescent="0.3"/>
  <cols>
    <col min="1" max="1" width="11.44140625" bestFit="1" customWidth="1"/>
    <col min="2" max="2" width="8.33203125" customWidth="1"/>
    <col min="3" max="3" width="15.33203125" customWidth="1"/>
    <col min="5" max="5" width="11.44140625" bestFit="1" customWidth="1"/>
    <col min="6" max="6" width="5.5546875" bestFit="1" customWidth="1"/>
    <col min="7" max="7" width="7.77734375" bestFit="1" customWidth="1"/>
    <col min="8" max="8" width="10.88671875" bestFit="1" customWidth="1"/>
    <col min="10" max="10" width="9.88671875" bestFit="1" customWidth="1"/>
    <col min="11" max="11" width="7" bestFit="1" customWidth="1"/>
  </cols>
  <sheetData>
    <row r="1" spans="1:11" ht="15.6" x14ac:dyDescent="0.3">
      <c r="A1" s="39" t="s">
        <v>69</v>
      </c>
      <c r="B1" s="39"/>
      <c r="C1" s="39"/>
      <c r="D1" s="1"/>
      <c r="E1" s="39" t="s">
        <v>69</v>
      </c>
      <c r="F1" s="39"/>
      <c r="G1" s="39"/>
      <c r="H1" s="39"/>
      <c r="J1" s="39" t="s">
        <v>31</v>
      </c>
      <c r="K1" s="39"/>
    </row>
    <row r="2" spans="1:11" ht="15.6" x14ac:dyDescent="0.3">
      <c r="A2" s="12" t="s">
        <v>0</v>
      </c>
      <c r="B2" s="12" t="s">
        <v>14</v>
      </c>
      <c r="C2" s="12" t="s">
        <v>1</v>
      </c>
      <c r="D2" s="1"/>
      <c r="E2" s="2" t="s">
        <v>0</v>
      </c>
      <c r="F2" s="2" t="s">
        <v>2</v>
      </c>
      <c r="G2" s="2" t="s">
        <v>3</v>
      </c>
      <c r="H2" s="2" t="s">
        <v>1</v>
      </c>
      <c r="J2" s="2" t="s">
        <v>22</v>
      </c>
      <c r="K2" s="2" t="s">
        <v>23</v>
      </c>
    </row>
    <row r="3" spans="1:11" ht="15.6" x14ac:dyDescent="0.3">
      <c r="A3" s="18">
        <v>46234</v>
      </c>
      <c r="B3" s="19">
        <v>1</v>
      </c>
      <c r="C3" s="5">
        <f>+B3*12000</f>
        <v>12000</v>
      </c>
      <c r="D3" s="1"/>
      <c r="E3" s="6"/>
      <c r="F3" s="7"/>
      <c r="G3" s="7"/>
      <c r="H3" s="7"/>
      <c r="J3" s="14" t="s">
        <v>24</v>
      </c>
      <c r="K3" s="14">
        <v>12000</v>
      </c>
    </row>
    <row r="4" spans="1:11" ht="15.6" x14ac:dyDescent="0.3">
      <c r="A4" s="11" t="s">
        <v>7</v>
      </c>
      <c r="B4" s="22">
        <f>+SUM(B3:B3)</f>
        <v>1</v>
      </c>
      <c r="C4" s="22">
        <f>+SUM(C3:C3)</f>
        <v>12000</v>
      </c>
      <c r="D4" s="1"/>
      <c r="E4" s="38" t="s">
        <v>7</v>
      </c>
      <c r="F4" s="38"/>
      <c r="G4" s="38"/>
      <c r="H4" s="8">
        <f>+SUM(H3:H3)</f>
        <v>0</v>
      </c>
    </row>
    <row r="5" spans="1:11" ht="15.6" x14ac:dyDescent="0.3">
      <c r="A5" s="1"/>
      <c r="B5" s="1"/>
      <c r="C5" s="1"/>
      <c r="D5" s="1"/>
    </row>
    <row r="6" spans="1:11" ht="15.6" x14ac:dyDescent="0.3">
      <c r="A6" s="1"/>
      <c r="B6" s="1"/>
      <c r="C6" s="1"/>
      <c r="D6" s="1"/>
    </row>
    <row r="7" spans="1:11" ht="15.6" x14ac:dyDescent="0.3">
      <c r="A7" s="1"/>
      <c r="B7" s="1"/>
      <c r="C7" s="23"/>
      <c r="D7" s="1"/>
    </row>
    <row r="8" spans="1:11" ht="15.6" x14ac:dyDescent="0.3">
      <c r="A8" s="1" t="s">
        <v>21</v>
      </c>
      <c r="B8" s="1"/>
      <c r="C8" s="10">
        <f>+C4-H4</f>
        <v>12000</v>
      </c>
      <c r="D8" s="1"/>
    </row>
    <row r="9" spans="1:11" ht="15.6" x14ac:dyDescent="0.3">
      <c r="D9" s="1"/>
    </row>
    <row r="10" spans="1:11" ht="15.6" x14ac:dyDescent="0.3">
      <c r="C10" s="17"/>
      <c r="D10" s="1"/>
    </row>
  </sheetData>
  <mergeCells count="4">
    <mergeCell ref="A1:C1"/>
    <mergeCell ref="E1:H1"/>
    <mergeCell ref="J1:K1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Sameer Sajit Sheikh</vt:lpstr>
      <vt:lpstr>Abdul Sheikh</vt:lpstr>
      <vt:lpstr>Nitin Suryavanshi</vt:lpstr>
      <vt:lpstr>VR Engineering</vt:lpstr>
      <vt:lpstr>Siddiq Shaikh</vt:lpstr>
      <vt:lpstr>Berade</vt:lpstr>
      <vt:lpstr>Imran Sheikh</vt:lpstr>
      <vt:lpstr>Awaiz Bibiyani</vt:lpstr>
      <vt:lpstr>M D Ansari</vt:lpstr>
      <vt:lpstr>Alam Ansari</vt:lpstr>
      <vt:lpstr>Sagar Chavan</vt:lpstr>
      <vt:lpstr>Kartik Pardeshi</vt:lpstr>
      <vt:lpstr>Ram Kishore</vt:lpstr>
      <vt:lpstr>Baban Bengal</vt:lpstr>
      <vt:lpstr>Bajrangi</vt:lpstr>
      <vt:lpstr>Pawan Rathod</vt:lpstr>
      <vt:lpstr>Ibrahim Sayyed</vt:lpstr>
      <vt:lpstr>Sayyed Usman</vt:lpstr>
      <vt:lpstr>Gora Sekh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Aabasaheb Khoje</dc:creator>
  <cp:lastModifiedBy>Aabasaheb Khoje</cp:lastModifiedBy>
  <cp:lastPrinted>2026-08-05T07:33:05Z</cp:lastPrinted>
  <dcterms:created xsi:type="dcterms:W3CDTF">2015-06-05T18:17:20Z</dcterms:created>
  <dcterms:modified xsi:type="dcterms:W3CDTF">2026-08-14T17:42:57Z</dcterms:modified>
</cp:coreProperties>
</file>